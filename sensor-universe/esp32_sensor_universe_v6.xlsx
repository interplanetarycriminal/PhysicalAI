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tables/table5.xml" ContentType="application/vnd.openxmlformats-officedocument.spreadsheetml.table+xml"/>
  <Override PartName="/xl/worksheets/sheet12.xml" ContentType="application/vnd.openxmlformats-officedocument.spreadsheetml.worksheet+xml"/>
  <Override PartName="/xl/tables/table6.xml" ContentType="application/vnd.openxmlformats-officedocument.spreadsheetml.table+xml"/>
  <Override PartName="/xl/worksheets/sheet13.xml" ContentType="application/vnd.openxmlformats-officedocument.spreadsheetml.worksheet+xml"/>
  <Override PartName="/xl/tables/table7.xml" ContentType="application/vnd.openxmlformats-officedocument.spreadsheetml.table+xml"/>
  <Override PartName="/xl/worksheets/sheet14.xml" ContentType="application/vnd.openxmlformats-officedocument.spreadsheetml.worksheet+xml"/>
  <Override PartName="/xl/tables/table8.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tables/table10.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1.xml" ContentType="application/vnd.openxmlformats-officedocument.spreadsheetml.table+xml"/>
  <Override PartName="/xl/worksheets/sheet20.xml" ContentType="application/vnd.openxmlformats-officedocument.spreadsheetml.worksheet+xml"/>
  <Override PartName="/xl/tables/table12.xml" ContentType="application/vnd.openxmlformats-officedocument.spreadsheetml.table+xml"/>
  <Override PartName="/xl/worksheets/sheet21.xml" ContentType="application/vnd.openxmlformats-officedocument.spreadsheetml.worksheet+xml"/>
  <Override PartName="/xl/tables/table13.xml" ContentType="application/vnd.openxmlformats-officedocument.spreadsheetml.table+xml"/>
  <Override PartName="/xl/worksheets/sheet2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Sensor Catalog" sheetId="3" state="visible" r:id="rId3"/>
    <sheet name="Sensor Cards" sheetId="4" state="visible" r:id="rId4"/>
    <sheet name="Actuators" sheetId="5" state="visible" r:id="rId5"/>
    <sheet name="Glue &amp; Signal Chain" sheetId="6" state="visible" r:id="rId6"/>
    <sheet name="Boards &amp; Compute" sheetId="7" state="visible" r:id="rId7"/>
    <sheet name="Phenomenon Index" sheetId="8" state="visible" r:id="rId8"/>
    <sheet name="Inference Atlas" sheetId="9" state="visible" r:id="rId9"/>
    <sheet name="Constraint Navigator" sheetId="10" state="visible" r:id="rId10"/>
    <sheet name="Categories" sheetId="11" state="visible" r:id="rId11"/>
    <sheet name="Themes" sheetId="12" state="visible" r:id="rId12"/>
    <sheet name="Modality Map" sheetId="13" state="visible" r:id="rId13"/>
    <sheet name="Fusion Grammar" sheetId="14" state="visible" r:id="rId14"/>
    <sheet name="Synergy Matrix" sheetId="15" state="visible" r:id="rId15"/>
    <sheet name="Invention Seeds" sheetId="16" state="visible" r:id="rId16"/>
    <sheet name="I2C &amp; Wiring" sheetId="17" state="visible" r:id="rId17"/>
    <sheet name="Power Budget" sheetId="18" state="visible" r:id="rId18"/>
    <sheet name="Project Archetypes" sheetId="19" state="visible" r:id="rId19"/>
    <sheet name="Buying Guide" sheetId="20" state="visible" r:id="rId20"/>
    <sheet name="ESP32 Capabilities" sheetId="21" state="visible" r:id="rId21"/>
    <sheet name="Provenance" sheetId="22" state="visible" r:id="rId22"/>
  </sheets>
  <definedNames>
    <definedName name="_xlnm.Print_Titles" localSheetId="2">'Sensor Catalog'!$1:$4</definedName>
    <definedName name="_xlnm.Print_Titles" localSheetId="4">'Actuators'!$1:$4</definedName>
    <definedName name="_xlnm.Print_Titles" localSheetId="5">'Glue &amp; Signal Chain'!$1:$4</definedName>
    <definedName name="_xlnm.Print_Titles" localSheetId="6">'Boards &amp; Compute'!$1:$4</definedName>
  </definedNames>
  <calcPr calcId="124519" fullCalcOnLoad="1"/>
</workbook>
</file>

<file path=xl/styles.xml><?xml version="1.0" encoding="utf-8"?>
<styleSheet xmlns="http://schemas.openxmlformats.org/spreadsheetml/2006/main">
  <numFmts count="0"/>
  <fonts count="37">
    <font>
      <name val="Calibri"/>
      <family val="2"/>
      <color theme="1"/>
      <sz val="11"/>
      <scheme val="minor"/>
    </font>
    <font>
      <name val="Aptos Narrow"/>
      <b val="1"/>
      <color rgb="00FFFFFF"/>
      <sz val="8"/>
    </font>
    <font>
      <name val="Aptos Narrow"/>
      <color rgb="00FFFFFF"/>
      <sz val="8"/>
    </font>
    <font>
      <name val="Aptos Narrow"/>
      <b val="1"/>
      <color rgb="00FFFFFF"/>
      <sz val="17"/>
    </font>
    <font>
      <name val="Aptos Narrow"/>
      <i val="1"/>
      <color rgb="007A7A85"/>
      <sz val="9.5"/>
    </font>
    <font>
      <name val="Aptos Narrow"/>
      <b val="1"/>
      <color rgb="001F2A44"/>
      <sz val="12"/>
    </font>
    <font>
      <name val="Aptos Narrow"/>
      <b val="1"/>
      <color rgb="0024242B"/>
      <sz val="9"/>
    </font>
    <font>
      <name val="Aptos Narrow"/>
      <color rgb="0024242B"/>
      <sz val="9.5"/>
    </font>
    <font>
      <name val="Aptos Narrow"/>
      <b val="1"/>
      <color rgb="00C8853A"/>
      <sz val="18"/>
    </font>
    <font>
      <name val="Aptos Narrow"/>
      <color rgb="007A7A85"/>
      <sz val="9"/>
    </font>
    <font>
      <name val="Aptos Narrow"/>
      <b val="1"/>
      <color rgb="001F4E79"/>
      <sz val="9"/>
      <u val="single"/>
    </font>
    <font>
      <name val="Aptos Narrow"/>
      <color rgb="0024242B"/>
      <sz val="9"/>
    </font>
    <font>
      <name val="Aptos Narrow"/>
      <i val="1"/>
      <color rgb="007A7A85"/>
      <sz val="9"/>
    </font>
    <font>
      <name val="Aptos Narrow"/>
      <b val="1"/>
      <color rgb="001F2A44"/>
      <sz val="11"/>
    </font>
    <font>
      <name val="Aptos Narrow"/>
      <color rgb="00C8853A"/>
      <sz val="9"/>
    </font>
    <font>
      <name val="Aptos Narrow"/>
      <i val="1"/>
      <color rgb="007A7A85"/>
      <sz val="8"/>
    </font>
    <font>
      <name val="Aptos Narrow"/>
      <color rgb="0024242B"/>
      <sz val="8"/>
    </font>
    <font>
      <name val="Aptos Narrow"/>
      <b val="1"/>
      <color rgb="0024242B"/>
      <sz val="10"/>
    </font>
    <font>
      <name val="Aptos Narrow"/>
      <i val="1"/>
      <color rgb="00555555"/>
      <sz val="9"/>
    </font>
    <font>
      <name val="Aptos Narrow"/>
      <b val="1"/>
      <color rgb="001F2A44"/>
      <sz val="10"/>
    </font>
    <font>
      <name val="Aptos Narrow"/>
      <b val="1"/>
      <color rgb="007A7A85"/>
      <sz val="8"/>
    </font>
    <font>
      <name val="Aptos Narrow"/>
      <color rgb="007A7A85"/>
      <sz val="8"/>
    </font>
    <font>
      <name val="Aptos Narrow"/>
      <b val="1"/>
      <color rgb="001F2A44"/>
      <sz val="8"/>
    </font>
    <font>
      <name val="Aptos Narrow"/>
      <i val="1"/>
      <color rgb="001F2A44"/>
      <sz val="9"/>
    </font>
    <font>
      <name val="Aptos Narrow"/>
      <b val="1"/>
      <color rgb="00A8412F"/>
      <sz val="10"/>
    </font>
    <font>
      <name val="Aptos Narrow"/>
      <b val="1"/>
      <color rgb="00A8412F"/>
      <sz val="9"/>
    </font>
    <font>
      <name val="Aptos Narrow"/>
      <b val="1"/>
      <color rgb="00FFFFFF"/>
      <sz val="9"/>
    </font>
    <font>
      <name val="Aptos Narrow"/>
      <b val="1"/>
      <color rgb="007A7A85"/>
      <sz val="9"/>
    </font>
    <font>
      <name val="Aptos Narrow"/>
      <b val="1"/>
      <color rgb="00A8412F"/>
      <sz val="8"/>
    </font>
    <font>
      <name val="Consolas"/>
      <b val="1"/>
      <color rgb="0024242B"/>
      <sz val="9"/>
    </font>
    <font>
      <name val="Aptos Narrow"/>
      <i val="1"/>
      <color rgb="006B4E8E"/>
      <sz val="10"/>
    </font>
    <font>
      <name val="Aptos Narrow"/>
      <b val="1"/>
      <color rgb="0024242B"/>
      <sz val="11"/>
    </font>
    <font>
      <name val="Aptos Narrow"/>
      <b val="1"/>
      <color rgb="009A6A00"/>
      <sz val="8"/>
    </font>
    <font>
      <name val="Aptos Narrow"/>
      <b val="1"/>
      <color rgb="009A6A00"/>
      <sz val="9"/>
    </font>
    <font>
      <name val="Consolas"/>
      <b val="1"/>
      <color rgb="0024242B"/>
      <sz val="10"/>
    </font>
    <font>
      <name val="Aptos Narrow"/>
      <b val="1"/>
      <color rgb="001F2A44"/>
      <sz val="9"/>
    </font>
    <font>
      <name val="Aptos Narrow"/>
      <color rgb="0024242B"/>
      <sz val="10"/>
    </font>
  </fonts>
  <fills count="35">
    <fill>
      <patternFill/>
    </fill>
    <fill>
      <patternFill patternType="gray125"/>
    </fill>
    <fill>
      <patternFill patternType="solid">
        <fgColor rgb="00C8853A"/>
      </patternFill>
    </fill>
    <fill>
      <patternFill patternType="solid">
        <fgColor rgb="003A4A6B"/>
      </patternFill>
    </fill>
    <fill>
      <patternFill patternType="solid">
        <fgColor rgb="001F2A44"/>
      </patternFill>
    </fill>
    <fill>
      <patternFill patternType="solid">
        <fgColor rgb="00F3E2C7"/>
      </patternFill>
    </fill>
    <fill>
      <patternFill patternType="solid">
        <fgColor rgb="00F5F2EB"/>
      </patternFill>
    </fill>
    <fill>
      <patternFill patternType="solid">
        <fgColor rgb="00FDF6EC"/>
      </patternFill>
    </fill>
    <fill>
      <patternFill patternType="solid">
        <fgColor rgb="00F4C7A1"/>
      </patternFill>
    </fill>
    <fill>
      <patternFill patternType="solid">
        <fgColor rgb="00FBE9E4"/>
      </patternFill>
    </fill>
    <fill>
      <patternFill patternType="solid">
        <fgColor rgb="00FDF3E3"/>
      </patternFill>
    </fill>
    <fill>
      <patternFill patternType="solid">
        <fgColor rgb="00EAF0F6"/>
      </patternFill>
    </fill>
    <fill>
      <patternFill patternType="solid">
        <fgColor rgb="00F8DED7"/>
      </patternFill>
    </fill>
    <fill>
      <patternFill patternType="solid">
        <fgColor rgb="00EFEFEF"/>
      </patternFill>
    </fill>
    <fill>
      <patternFill patternType="solid">
        <fgColor rgb="00DCCFE8"/>
      </patternFill>
    </fill>
    <fill>
      <patternFill patternType="solid">
        <fgColor rgb="00CFE3CF"/>
      </patternFill>
    </fill>
    <fill>
      <patternFill patternType="solid">
        <fgColor rgb="00FFE9A8"/>
      </patternFill>
    </fill>
    <fill>
      <patternFill patternType="solid">
        <fgColor rgb="00C9DFF0"/>
      </patternFill>
    </fill>
    <fill>
      <patternFill patternType="solid">
        <fgColor rgb="00E2D7C3"/>
      </patternFill>
    </fill>
    <fill>
      <patternFill patternType="solid">
        <fgColor rgb="00C6E6E2"/>
      </patternFill>
    </fill>
    <fill>
      <patternFill patternType="solid">
        <fgColor rgb="00F7D4D4"/>
      </patternFill>
    </fill>
    <fill>
      <patternFill patternType="solid">
        <fgColor rgb="00F2D9C4"/>
      </patternFill>
    </fill>
    <fill>
      <patternFill patternType="solid">
        <fgColor rgb="00E7F0E9"/>
      </patternFill>
    </fill>
    <fill>
      <patternFill patternType="solid">
        <fgColor rgb="00FBEEDD"/>
      </patternFill>
    </fill>
    <fill>
      <patternFill patternType="solid">
        <fgColor rgb="00EDE7F3"/>
      </patternFill>
    </fill>
    <fill>
      <patternFill patternType="solid">
        <fgColor rgb="00F3EAF0"/>
      </patternFill>
    </fill>
    <fill>
      <patternFill patternType="solid">
        <fgColor rgb="00E8CBD6"/>
      </patternFill>
    </fill>
    <fill>
      <patternFill patternType="solid">
        <fgColor rgb="00DDD9CE"/>
      </patternFill>
    </fill>
    <fill>
      <patternFill patternType="solid">
        <fgColor rgb="00F6C453"/>
      </patternFill>
    </fill>
    <fill>
      <patternFill patternType="solid">
        <fgColor rgb="00FAE3A0"/>
      </patternFill>
    </fill>
    <fill>
      <patternFill patternType="solid">
        <fgColor rgb="00F8F8F8"/>
      </patternFill>
    </fill>
    <fill>
      <patternFill patternType="solid">
        <fgColor rgb="00FBE3DE"/>
      </patternFill>
    </fill>
    <fill>
      <patternFill patternType="solid">
        <fgColor rgb="00FFF3C4"/>
      </patternFill>
    </fill>
    <fill>
      <patternFill patternType="solid">
        <fgColor rgb="00F0EBE3"/>
      </patternFill>
    </fill>
    <fill>
      <patternFill patternType="solid">
        <fgColor rgb="00E3F0E7"/>
      </patternFill>
    </fill>
  </fills>
  <borders count="2">
    <border>
      <left/>
      <right/>
      <top/>
      <bottom/>
      <diagonal/>
    </border>
    <border>
      <left style="thin">
        <color rgb="00D8D2C6"/>
      </left>
      <right style="thin">
        <color rgb="00D8D2C6"/>
      </right>
      <top style="thin">
        <color rgb="00D8D2C6"/>
      </top>
      <bottom style="thin">
        <color rgb="00D8D2C6"/>
      </bottom>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indent="1"/>
    </xf>
    <xf numFmtId="0" fontId="0" fillId="4" borderId="0" pivotButton="0" quotePrefix="0" xfId="0"/>
    <xf numFmtId="0" fontId="4" fillId="0" borderId="0" applyAlignment="1" pivotButton="0" quotePrefix="0" xfId="0">
      <alignment horizontal="left" vertical="center" wrapText="1" indent="1"/>
    </xf>
    <xf numFmtId="0" fontId="5" fillId="5" borderId="0" applyAlignment="1" pivotButton="0" quotePrefix="0" xfId="0">
      <alignment vertical="center" indent="1"/>
    </xf>
    <xf numFmtId="0" fontId="6" fillId="6" borderId="1" applyAlignment="1" pivotButton="0" quotePrefix="0" xfId="0">
      <alignment horizontal="left" vertical="top" wrapText="1"/>
    </xf>
    <xf numFmtId="0" fontId="7" fillId="0" borderId="1" applyAlignment="1" pivotButton="0" quotePrefix="0" xfId="0">
      <alignment horizontal="left" vertical="top" wrapText="1"/>
    </xf>
    <xf numFmtId="0" fontId="8" fillId="0" borderId="1" applyAlignment="1" pivotButton="0" quotePrefix="0" xfId="0">
      <alignment horizontal="right" vertical="top" wrapText="1"/>
    </xf>
    <xf numFmtId="0" fontId="9" fillId="0" borderId="1" applyAlignment="1" pivotButton="0" quotePrefix="0" xfId="0">
      <alignment horizontal="left" vertical="center" wrapText="1"/>
    </xf>
    <xf numFmtId="0" fontId="10" fillId="6" borderId="1" applyAlignment="1" pivotButton="0" quotePrefix="0" xfId="0">
      <alignment horizontal="left" vertical="top" wrapText="1"/>
    </xf>
    <xf numFmtId="0" fontId="11" fillId="0" borderId="1" applyAlignment="1" pivotButton="0" quotePrefix="0" xfId="0">
      <alignment horizontal="left" vertical="top" wrapText="1"/>
    </xf>
    <xf numFmtId="0" fontId="12" fillId="0" borderId="0" applyAlignment="1" pivotButton="0" quotePrefix="0" xfId="0">
      <alignment vertical="center" wrapText="1" indent="1"/>
    </xf>
    <xf numFmtId="0" fontId="6" fillId="7" borderId="1" applyAlignment="1" pivotButton="0" quotePrefix="0" xfId="0">
      <alignment horizontal="left" vertical="top" wrapText="1"/>
    </xf>
    <xf numFmtId="0" fontId="13" fillId="0" borderId="0" pivotButton="0" quotePrefix="0" xfId="0"/>
    <xf numFmtId="0" fontId="11" fillId="0" borderId="1" applyAlignment="1" pivotButton="0" quotePrefix="0" xfId="0">
      <alignment horizontal="left" vertical="top"/>
    </xf>
    <xf numFmtId="0" fontId="11" fillId="0" borderId="1" applyAlignment="1" pivotButton="0" quotePrefix="0" xfId="0">
      <alignment horizontal="center" vertical="top"/>
    </xf>
    <xf numFmtId="0" fontId="14" fillId="0" borderId="1" applyAlignment="1" pivotButton="0" quotePrefix="0" xfId="0">
      <alignment horizontal="left" vertical="top"/>
    </xf>
    <xf numFmtId="0" fontId="15" fillId="0" borderId="0" applyAlignment="1" pivotButton="0" quotePrefix="0" xfId="0">
      <alignment horizontal="left" vertical="top" wrapText="1"/>
    </xf>
    <xf numFmtId="0" fontId="16" fillId="0" borderId="0" applyAlignment="1" pivotButton="0" quotePrefix="0" xfId="0">
      <alignment horizontal="left" vertical="top" wrapText="1"/>
    </xf>
    <xf numFmtId="0" fontId="17" fillId="7" borderId="1" applyAlignment="1" pivotButton="0" quotePrefix="0" xfId="0">
      <alignment horizontal="left" vertical="top"/>
    </xf>
    <xf numFmtId="0" fontId="15" fillId="0" borderId="1" applyAlignment="1" pivotButton="0" quotePrefix="0" xfId="0">
      <alignment horizontal="right" vertical="top" wrapText="1"/>
    </xf>
    <xf numFmtId="0" fontId="18" fillId="0" borderId="1" applyAlignment="1" pivotButton="0" quotePrefix="0" xfId="0">
      <alignment horizontal="left" vertical="top" wrapText="1"/>
    </xf>
    <xf numFmtId="0" fontId="26" fillId="4" borderId="1" applyAlignment="1" pivotButton="0" quotePrefix="0" xfId="0">
      <alignment horizontal="center" vertical="center" wrapText="1"/>
    </xf>
    <xf numFmtId="0" fontId="10" fillId="0" borderId="1" applyAlignment="1" pivotButton="0" quotePrefix="0" xfId="0">
      <alignment horizontal="center" vertical="top" wrapText="1"/>
    </xf>
    <xf numFmtId="0" fontId="17" fillId="0" borderId="1" applyAlignment="1" pivotButton="0" quotePrefix="0" xfId="0">
      <alignment horizontal="left" vertical="top" wrapText="1"/>
    </xf>
    <xf numFmtId="0" fontId="11" fillId="8" borderId="1" applyAlignment="1" pivotButton="0" quotePrefix="0" xfId="0">
      <alignment horizontal="left" vertical="top" wrapText="1"/>
    </xf>
    <xf numFmtId="0" fontId="11" fillId="22" borderId="1" applyAlignment="1" pivotButton="0" quotePrefix="0" xfId="0">
      <alignment horizontal="left" vertical="top" wrapText="1"/>
    </xf>
    <xf numFmtId="0" fontId="11" fillId="0" borderId="1" applyAlignment="1" pivotButton="0" quotePrefix="0" xfId="0">
      <alignment horizontal="center" vertical="top" wrapText="1"/>
    </xf>
    <xf numFmtId="0" fontId="28" fillId="0" borderId="1" applyAlignment="1" pivotButton="0" quotePrefix="0" xfId="0">
      <alignment horizontal="left" vertical="top" wrapText="1"/>
    </xf>
    <xf numFmtId="0" fontId="11" fillId="13" borderId="1" applyAlignment="1" pivotButton="0" quotePrefix="0" xfId="0">
      <alignment horizontal="left" vertical="top" wrapText="1"/>
    </xf>
    <xf numFmtId="0" fontId="11" fillId="11" borderId="1" applyAlignment="1" pivotButton="0" quotePrefix="0" xfId="0">
      <alignment horizontal="left" vertical="top" wrapText="1"/>
    </xf>
    <xf numFmtId="0" fontId="11" fillId="14" borderId="1" applyAlignment="1" pivotButton="0" quotePrefix="0" xfId="0">
      <alignment horizontal="left" vertical="top" wrapText="1"/>
    </xf>
    <xf numFmtId="0" fontId="11" fillId="15" borderId="1" applyAlignment="1" pivotButton="0" quotePrefix="0" xfId="0">
      <alignment horizontal="left" vertical="top" wrapText="1"/>
    </xf>
    <xf numFmtId="0" fontId="11" fillId="16" borderId="1" applyAlignment="1" pivotButton="0" quotePrefix="0" xfId="0">
      <alignment horizontal="left" vertical="top" wrapText="1"/>
    </xf>
    <xf numFmtId="0" fontId="11" fillId="17" borderId="1" applyAlignment="1" pivotButton="0" quotePrefix="0" xfId="0">
      <alignment horizontal="left" vertical="top" wrapText="1"/>
    </xf>
    <xf numFmtId="0" fontId="11" fillId="18" borderId="1" applyAlignment="1" pivotButton="0" quotePrefix="0" xfId="0">
      <alignment horizontal="left" vertical="top" wrapText="1"/>
    </xf>
    <xf numFmtId="0" fontId="11" fillId="19" borderId="1" applyAlignment="1" pivotButton="0" quotePrefix="0" xfId="0">
      <alignment horizontal="left" vertical="top" wrapText="1"/>
    </xf>
    <xf numFmtId="0" fontId="11" fillId="12" borderId="1" applyAlignment="1" pivotButton="0" quotePrefix="0" xfId="0">
      <alignment horizontal="left" vertical="top" wrapText="1"/>
    </xf>
    <xf numFmtId="0" fontId="11" fillId="20" borderId="1" applyAlignment="1" pivotButton="0" quotePrefix="0" xfId="0">
      <alignment horizontal="left" vertical="top" wrapText="1"/>
    </xf>
    <xf numFmtId="0" fontId="11" fillId="21" borderId="1" applyAlignment="1" pivotButton="0" quotePrefix="0" xfId="0">
      <alignment horizontal="left" vertical="top" wrapText="1"/>
    </xf>
    <xf numFmtId="0" fontId="11" fillId="23" borderId="1" applyAlignment="1" pivotButton="0" quotePrefix="0" xfId="0">
      <alignment horizontal="left" vertical="top" wrapText="1"/>
    </xf>
    <xf numFmtId="0" fontId="19" fillId="8" borderId="1" applyAlignment="1" pivotButton="0" quotePrefix="0" xfId="0">
      <alignment horizontal="center" vertical="top" wrapText="1"/>
    </xf>
    <xf numFmtId="0" fontId="5" fillId="8" borderId="1" applyAlignment="1" pivotButton="0" quotePrefix="0" xfId="0">
      <alignment vertical="center" indent="1"/>
    </xf>
    <xf numFmtId="0" fontId="20" fillId="0" borderId="1" applyAlignment="1" pivotButton="0" quotePrefix="0" xfId="0">
      <alignment horizontal="right" vertical="top" wrapText="1"/>
    </xf>
    <xf numFmtId="0" fontId="11" fillId="0" borderId="1" applyAlignment="1" pivotButton="0" quotePrefix="0" xfId="0">
      <alignment vertical="top" wrapText="1"/>
    </xf>
    <xf numFmtId="0" fontId="11" fillId="9" borderId="1" applyAlignment="1" pivotButton="0" quotePrefix="0" xfId="0">
      <alignment vertical="top" wrapText="1"/>
    </xf>
    <xf numFmtId="0" fontId="11" fillId="10" borderId="1" applyAlignment="1" pivotButton="0" quotePrefix="0" xfId="0">
      <alignment vertical="top" wrapText="1"/>
    </xf>
    <xf numFmtId="0" fontId="21" fillId="0" borderId="1" applyAlignment="1" pivotButton="0" quotePrefix="0" xfId="0">
      <alignment horizontal="left" vertical="top" wrapText="1"/>
    </xf>
    <xf numFmtId="0" fontId="22" fillId="0" borderId="1" applyAlignment="1" pivotButton="0" quotePrefix="0" xfId="0">
      <alignment horizontal="right" vertical="top" wrapText="1"/>
    </xf>
    <xf numFmtId="0" fontId="23" fillId="11" borderId="1" applyAlignment="1" pivotButton="0" quotePrefix="0" xfId="0">
      <alignment horizontal="left" vertical="top" wrapText="1"/>
    </xf>
    <xf numFmtId="0" fontId="24" fillId="0" borderId="1" applyAlignment="1" pivotButton="0" quotePrefix="0" xfId="0">
      <alignment horizontal="right" vertical="top" wrapText="1"/>
    </xf>
    <xf numFmtId="0" fontId="25" fillId="12" borderId="1" applyAlignment="1" pivotButton="0" quotePrefix="0" xfId="0">
      <alignment horizontal="left" vertical="top" wrapText="1"/>
    </xf>
    <xf numFmtId="0" fontId="19" fillId="13" borderId="1" applyAlignment="1" pivotButton="0" quotePrefix="0" xfId="0">
      <alignment horizontal="center" vertical="top" wrapText="1"/>
    </xf>
    <xf numFmtId="0" fontId="5" fillId="13" borderId="1" applyAlignment="1" pivotButton="0" quotePrefix="0" xfId="0">
      <alignment vertical="center" indent="1"/>
    </xf>
    <xf numFmtId="0" fontId="19" fillId="14" borderId="1" applyAlignment="1" pivotButton="0" quotePrefix="0" xfId="0">
      <alignment horizontal="center" vertical="top" wrapText="1"/>
    </xf>
    <xf numFmtId="0" fontId="5" fillId="14" borderId="1" applyAlignment="1" pivotButton="0" quotePrefix="0" xfId="0">
      <alignment vertical="center" indent="1"/>
    </xf>
    <xf numFmtId="0" fontId="19" fillId="15" borderId="1" applyAlignment="1" pivotButton="0" quotePrefix="0" xfId="0">
      <alignment horizontal="center" vertical="top" wrapText="1"/>
    </xf>
    <xf numFmtId="0" fontId="5" fillId="15" borderId="1" applyAlignment="1" pivotButton="0" quotePrefix="0" xfId="0">
      <alignment vertical="center" indent="1"/>
    </xf>
    <xf numFmtId="0" fontId="19" fillId="16" borderId="1" applyAlignment="1" pivotButton="0" quotePrefix="0" xfId="0">
      <alignment horizontal="center" vertical="top" wrapText="1"/>
    </xf>
    <xf numFmtId="0" fontId="5" fillId="16" borderId="1" applyAlignment="1" pivotButton="0" quotePrefix="0" xfId="0">
      <alignment vertical="center" indent="1"/>
    </xf>
    <xf numFmtId="0" fontId="19" fillId="17" borderId="1" applyAlignment="1" pivotButton="0" quotePrefix="0" xfId="0">
      <alignment horizontal="center" vertical="top" wrapText="1"/>
    </xf>
    <xf numFmtId="0" fontId="5" fillId="17" borderId="1" applyAlignment="1" pivotButton="0" quotePrefix="0" xfId="0">
      <alignment vertical="center" indent="1"/>
    </xf>
    <xf numFmtId="0" fontId="19" fillId="18" borderId="1" applyAlignment="1" pivotButton="0" quotePrefix="0" xfId="0">
      <alignment horizontal="center" vertical="top" wrapText="1"/>
    </xf>
    <xf numFmtId="0" fontId="5" fillId="18" borderId="1" applyAlignment="1" pivotButton="0" quotePrefix="0" xfId="0">
      <alignment vertical="center" indent="1"/>
    </xf>
    <xf numFmtId="0" fontId="19" fillId="19" borderId="1" applyAlignment="1" pivotButton="0" quotePrefix="0" xfId="0">
      <alignment horizontal="center" vertical="top" wrapText="1"/>
    </xf>
    <xf numFmtId="0" fontId="5" fillId="19" borderId="1" applyAlignment="1" pivotButton="0" quotePrefix="0" xfId="0">
      <alignment vertical="center" indent="1"/>
    </xf>
    <xf numFmtId="0" fontId="19" fillId="20" borderId="1" applyAlignment="1" pivotButton="0" quotePrefix="0" xfId="0">
      <alignment horizontal="center" vertical="top" wrapText="1"/>
    </xf>
    <xf numFmtId="0" fontId="5" fillId="20" borderId="1" applyAlignment="1" pivotButton="0" quotePrefix="0" xfId="0">
      <alignment vertical="center" indent="1"/>
    </xf>
    <xf numFmtId="0" fontId="19" fillId="21" borderId="1" applyAlignment="1" pivotButton="0" quotePrefix="0" xfId="0">
      <alignment horizontal="center" vertical="top" wrapText="1"/>
    </xf>
    <xf numFmtId="0" fontId="5" fillId="21" borderId="1" applyAlignment="1" pivotButton="0" quotePrefix="0" xfId="0">
      <alignment vertical="center" indent="1"/>
    </xf>
    <xf numFmtId="0" fontId="29" fillId="0" borderId="1" applyAlignment="1" pivotButton="0" quotePrefix="0" xfId="0">
      <alignment horizontal="left" vertical="top" wrapText="1"/>
    </xf>
    <xf numFmtId="0" fontId="11" fillId="24" borderId="1" applyAlignment="1" pivotButton="0" quotePrefix="0" xfId="0">
      <alignment horizontal="left" vertical="top" wrapText="1"/>
    </xf>
    <xf numFmtId="0" fontId="19" fillId="0" borderId="1" applyAlignment="1" pivotButton="0" quotePrefix="0" xfId="0">
      <alignment horizontal="left" vertical="top" wrapText="1"/>
    </xf>
    <xf numFmtId="0" fontId="6" fillId="0" borderId="1" applyAlignment="1" pivotButton="0" quotePrefix="0" xfId="0">
      <alignment horizontal="left" vertical="top" wrapText="1"/>
    </xf>
    <xf numFmtId="0" fontId="11" fillId="9" borderId="1" applyAlignment="1" pivotButton="0" quotePrefix="0" xfId="0">
      <alignment horizontal="left" vertical="top" wrapText="1"/>
    </xf>
    <xf numFmtId="0" fontId="9" fillId="0" borderId="1" applyAlignment="1" pivotButton="0" quotePrefix="0" xfId="0">
      <alignment horizontal="left" vertical="top" wrapText="1"/>
    </xf>
    <xf numFmtId="0" fontId="13" fillId="25" borderId="1" applyAlignment="1" pivotButton="0" quotePrefix="0" xfId="0">
      <alignment horizontal="left" vertical="top" wrapText="1"/>
    </xf>
    <xf numFmtId="0" fontId="30" fillId="0" borderId="1" applyAlignment="1" pivotButton="0" quotePrefix="0" xfId="0">
      <alignment horizontal="left" vertical="top" wrapText="1"/>
    </xf>
    <xf numFmtId="0" fontId="31" fillId="8" borderId="1" applyAlignment="1" pivotButton="0" quotePrefix="0" xfId="0">
      <alignment horizontal="left" vertical="top" wrapText="1"/>
    </xf>
    <xf numFmtId="0" fontId="31" fillId="16" borderId="1" applyAlignment="1" pivotButton="0" quotePrefix="0" xfId="0">
      <alignment horizontal="left" vertical="top" wrapText="1"/>
    </xf>
    <xf numFmtId="0" fontId="31" fillId="17" borderId="1" applyAlignment="1" pivotButton="0" quotePrefix="0" xfId="0">
      <alignment horizontal="left" vertical="top" wrapText="1"/>
    </xf>
    <xf numFmtId="0" fontId="31" fillId="15" borderId="1" applyAlignment="1" pivotButton="0" quotePrefix="0" xfId="0">
      <alignment horizontal="left" vertical="top" wrapText="1"/>
    </xf>
    <xf numFmtId="0" fontId="31" fillId="20" borderId="1" applyAlignment="1" pivotButton="0" quotePrefix="0" xfId="0">
      <alignment horizontal="left" vertical="top" wrapText="1"/>
    </xf>
    <xf numFmtId="0" fontId="31" fillId="14" borderId="1" applyAlignment="1" pivotButton="0" quotePrefix="0" xfId="0">
      <alignment horizontal="left" vertical="top" wrapText="1"/>
    </xf>
    <xf numFmtId="0" fontId="31" fillId="19" borderId="1" applyAlignment="1" pivotButton="0" quotePrefix="0" xfId="0">
      <alignment horizontal="left" vertical="top" wrapText="1"/>
    </xf>
    <xf numFmtId="0" fontId="31" fillId="18" borderId="1" applyAlignment="1" pivotButton="0" quotePrefix="0" xfId="0">
      <alignment horizontal="left" vertical="top" wrapText="1"/>
    </xf>
    <xf numFmtId="0" fontId="31" fillId="26" borderId="1" applyAlignment="1" pivotButton="0" quotePrefix="0" xfId="0">
      <alignment horizontal="left" vertical="top" wrapText="1"/>
    </xf>
    <xf numFmtId="0" fontId="31" fillId="21" borderId="1" applyAlignment="1" pivotButton="0" quotePrefix="0" xfId="0">
      <alignment horizontal="left" vertical="top" wrapText="1"/>
    </xf>
    <xf numFmtId="0" fontId="13" fillId="5" borderId="1" applyAlignment="1" pivotButton="0" quotePrefix="0" xfId="0">
      <alignment horizontal="left" vertical="top" wrapText="1"/>
    </xf>
    <xf numFmtId="0" fontId="1" fillId="4" borderId="1" applyAlignment="1" pivotButton="0" quotePrefix="0" xfId="0">
      <alignment horizontal="center" vertical="top" wrapText="1"/>
    </xf>
    <xf numFmtId="0" fontId="1" fillId="4" borderId="1" applyAlignment="1" pivotButton="0" quotePrefix="0" xfId="0">
      <alignment horizontal="center" vertical="center" wrapText="1"/>
    </xf>
    <xf numFmtId="0" fontId="1" fillId="4" borderId="1" applyAlignment="1" pivotButton="0" quotePrefix="0" xfId="0">
      <alignment horizontal="left" vertical="center" wrapText="1"/>
    </xf>
    <xf numFmtId="0" fontId="0" fillId="27" borderId="1" applyAlignment="1" pivotButton="0" quotePrefix="0" xfId="0">
      <alignment horizontal="center" vertical="center"/>
    </xf>
    <xf numFmtId="0" fontId="32" fillId="28" borderId="1" applyAlignment="1" pivotButton="0" quotePrefix="0" xfId="0">
      <alignment horizontal="center" vertical="center"/>
    </xf>
    <xf numFmtId="0" fontId="32" fillId="29" borderId="1" applyAlignment="1" pivotButton="0" quotePrefix="0" xfId="0">
      <alignment horizontal="center" vertical="center"/>
    </xf>
    <xf numFmtId="0" fontId="21" fillId="13" borderId="1" applyAlignment="1" pivotButton="0" quotePrefix="0" xfId="0">
      <alignment horizontal="center" vertical="center"/>
    </xf>
    <xf numFmtId="0" fontId="21" fillId="30" borderId="1" applyAlignment="1" pivotButton="0" quotePrefix="0" xfId="0">
      <alignment horizontal="center" vertical="center"/>
    </xf>
    <xf numFmtId="0" fontId="33" fillId="0" borderId="1" applyAlignment="1" pivotButton="0" quotePrefix="0" xfId="0">
      <alignment horizontal="center" vertical="top" wrapText="1"/>
    </xf>
    <xf numFmtId="0" fontId="17" fillId="7" borderId="1" applyAlignment="1" pivotButton="0" quotePrefix="0" xfId="0">
      <alignment horizontal="left" vertical="top" wrapText="1"/>
    </xf>
    <xf numFmtId="0" fontId="34" fillId="0" borderId="1" applyAlignment="1" pivotButton="0" quotePrefix="0" xfId="0">
      <alignment horizontal="center" vertical="top" wrapText="1"/>
    </xf>
    <xf numFmtId="0" fontId="25" fillId="31" borderId="1" applyAlignment="1" pivotButton="0" quotePrefix="0" xfId="0">
      <alignment horizontal="center" vertical="top" wrapText="1"/>
    </xf>
    <xf numFmtId="0" fontId="17" fillId="32" borderId="1" applyAlignment="1" pivotButton="0" quotePrefix="0" xfId="0">
      <alignment horizontal="center" vertical="top" wrapText="1"/>
    </xf>
    <xf numFmtId="2" fontId="17" fillId="11" borderId="1" applyAlignment="1" pivotButton="0" quotePrefix="0" xfId="0">
      <alignment horizontal="center" vertical="top" wrapText="1"/>
    </xf>
    <xf numFmtId="0" fontId="19" fillId="33" borderId="1" applyAlignment="1" pivotButton="0" quotePrefix="0" xfId="0">
      <alignment horizontal="left" vertical="top" wrapText="1"/>
    </xf>
    <xf numFmtId="0" fontId="35" fillId="0" borderId="1" applyAlignment="1" pivotButton="0" quotePrefix="0" xfId="0">
      <alignment horizontal="center" vertical="top" wrapText="1"/>
    </xf>
    <xf numFmtId="0" fontId="11" fillId="34" borderId="1" applyAlignment="1" pivotButton="0" quotePrefix="0" xfId="0">
      <alignment horizontal="center" vertical="top" wrapText="1"/>
    </xf>
    <xf numFmtId="0" fontId="11" fillId="31" borderId="1" applyAlignment="1" pivotButton="0" quotePrefix="0" xfId="0">
      <alignment horizontal="center" vertical="top" wrapText="1"/>
    </xf>
    <xf numFmtId="0" fontId="17" fillId="6" borderId="1" applyAlignment="1" pivotButton="0" quotePrefix="0" xfId="0">
      <alignment horizontal="left" vertical="top" wrapText="1"/>
    </xf>
    <xf numFmtId="0" fontId="36" fillId="0" borderId="1" applyAlignment="1" pivotButton="0" quotePrefix="0" xfId="0">
      <alignment horizontal="center" vertical="top" wrapText="1"/>
    </xf>
    <xf numFmtId="0" fontId="19" fillId="6"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t>Sensors by category</a:t>
            </a:r>
          </a:p>
        </rich>
      </tx>
    </title>
    <plotArea>
      <barChart>
        <barDir val="bar"/>
        <grouping val="clustered"/>
        <ser>
          <idx val="0"/>
          <order val="0"/>
          <spPr>
            <a:ln>
              <a:prstDash val="solid"/>
            </a:ln>
          </spPr>
          <cat>
            <numRef>
              <f>'Dashboard'!$A$63:$A$93</f>
            </numRef>
          </cat>
          <val>
            <numRef>
              <f>'Dashboard'!$B$63:$B$93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61</row>
      <rowOff>0</rowOff>
    </from>
    <ext cx="5040000" cy="43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Sensor" displayName="tblSensor" ref="A4:R242" headerRowCount="1">
  <autoFilter ref="A4:R242"/>
  <tableColumns count="18">
    <tableColumn id="1" name="ID"/>
    <tableColumn id="2" name="Part"/>
    <tableColumn id="3" name="Category"/>
    <tableColumn id="4" name="What it measures"/>
    <tableColumn id="5" name="Modality"/>
    <tableColumn id="6" name="Interface"/>
    <tableColumn id="7" name="Range"/>
    <tableColumn id="8" name="Accuracy"/>
    <tableColumn id="9" name="Contact"/>
    <tableColumn id="10" name="Privacy"/>
    <tableColumn id="11" name="Power"/>
    <tableColumn id="12" name="$"/>
    <tableColumn id="13" name="Tier"/>
    <tableColumn id="14" name="Diff"/>
    <tableColumn id="15" name="Hazard"/>
    <tableColumn id="16" name="Lifecycle"/>
    <tableColumn id="17" name="Buy from"/>
    <tableColumn id="18" name="Themes"/>
  </tableColumns>
  <tableStyleInfo name="TableStyleLight15" showFirstColumn="0" showLastColumn="0" showRowStripes="1" showColumnStripes="0"/>
</table>
</file>

<file path=xl/tables/table2.xml><?xml version="1.0" encoding="utf-8"?>
<table xmlns="http://schemas.openxmlformats.org/spreadsheetml/2006/main" id="2" name="tblPhenomena" displayName="tblPhenomena" ref="A4:G42" headerRowCount="1">
  <autoFilter ref="A4:G42"/>
  <tableColumns count="7">
    <tableColumn id="1" name="Phenomenon"/>
    <tableColumn id="2" name="What it is"/>
    <tableColumn id="3" name="#"/>
    <tableColumn id="4" name="Cheapest route"/>
    <tableColumn id="5" name="No-contact route"/>
    <tableColumn id="6" name="Lowest-power route"/>
    <tableColumn id="7" name="All parts"/>
  </tableColumns>
  <tableStyleInfo name="TableStyleLight15" showFirstColumn="0" showLastColumn="0" showRowStripes="1" showColumnStripes="0"/>
</table>
</file>

<file path=xl/tables/table3.xml><?xml version="1.0" encoding="utf-8"?>
<table xmlns="http://schemas.openxmlformats.org/spreadsheetml/2006/main" id="3" name="tblInference" displayName="tblInference" ref="A4:I88" headerRowCount="1">
  <autoFilter ref="A4:I88"/>
  <tableColumns count="9">
    <tableColumn id="1" name="Domain"/>
    <tableColumn id="2" name="You want to know…"/>
    <tableColumn id="3" name="#"/>
    <tableColumn id="4" name="💵 Cheapest"/>
    <tableColumn id="5" name="🎯 Most capable"/>
    <tableColumn id="6" name="🚫 No contact"/>
    <tableColumn id="7" name="🔒 Privacy-safe"/>
    <tableColumn id="8" name="🔋 Lowest power"/>
    <tableColumn id="9" name="🧑‍🔧 Easiest"/>
  </tableColumns>
  <tableStyleInfo name="TableStyleLight15" showFirstColumn="0" showLastColumn="0" showRowStripes="1" showColumnStripes="0"/>
</table>
</file>

<file path=xl/tables/table4.xml><?xml version="1.0" encoding="utf-8"?>
<table xmlns="http://schemas.openxmlformats.org/spreadsheetml/2006/main" id="4" name="tblConstraints" displayName="tblConstraints" ref="A4:F20" headerRowCount="1">
  <autoFilter ref="A4:F20"/>
  <tableColumns count="6">
    <tableColumn id="1" name="Constraint"/>
    <tableColumn id="2" name="How it's satisfied"/>
    <tableColumn id="3" name="#"/>
    <tableColumn id="4" name="Best picks"/>
    <tableColumn id="5" name="Cheapest"/>
    <tableColumn id="6" name="Watch out for"/>
  </tableColumns>
  <tableStyleInfo name="TableStyleLight15" showFirstColumn="0" showLastColumn="0" showRowStripes="1" showColumnStripes="0"/>
</table>
</file>

<file path=xl/tables/table5.xml><?xml version="1.0" encoding="utf-8"?>
<table xmlns="http://schemas.openxmlformats.org/spreadsheetml/2006/main" id="5" name="tblCategories" displayName="tblCategories" ref="A4:G35" headerRowCount="1">
  <autoFilter ref="A4:G35"/>
  <tableColumns count="7">
    <tableColumn id="1" name="Category"/>
    <tableColumn id="2" name="#"/>
    <tableColumn id="3" name="What this family does"/>
    <tableColumn id="4" name="Reach for it when…"/>
    <tableColumn id="5" name="Cheapest entry"/>
    <tableColumn id="6" name="Deepest cut"/>
    <tableColumn id="7" name="Dominant modality"/>
  </tableColumns>
  <tableStyleInfo name="TableStyleLight15" showFirstColumn="0" showLastColumn="0" showRowStripes="1" showColumnStripes="0"/>
</table>
</file>

<file path=xl/tables/table6.xml><?xml version="1.0" encoding="utf-8"?>
<table xmlns="http://schemas.openxmlformats.org/spreadsheetml/2006/main" id="6" name="tblThemes" displayName="tblThemes" ref="A4:F20" headerRowCount="1">
  <autoFilter ref="A4:F20"/>
  <tableColumns count="6">
    <tableColumn id="1" name="Theme"/>
    <tableColumn id="2" name="Territory"/>
    <tableColumn id="3" name="The question it asks"/>
    <tableColumn id="4" name="#"/>
    <tableColumn id="5" name="Star parts"/>
    <tableColumn id="6" name="Example inventions"/>
  </tableColumns>
  <tableStyleInfo name="TableStyleLight15" showFirstColumn="0" showLastColumn="0" showRowStripes="1" showColumnStripes="0"/>
</table>
</file>

<file path=xl/tables/table7.xml><?xml version="1.0" encoding="utf-8"?>
<table xmlns="http://schemas.openxmlformats.org/spreadsheetml/2006/main" id="7" name="tblModality" displayName="tblModality" ref="A4:F14" headerRowCount="1">
  <autoFilter ref="A4:F14"/>
  <tableColumns count="6">
    <tableColumn id="1" name="Modality"/>
    <tableColumn id="2" name="What it exploits"/>
    <tableColumn id="3" name="#"/>
    <tableColumn id="4" name="Categories it appears in"/>
    <tableColumn id="5" name="Typical failure mode shared by this family"/>
    <tableColumn id="6" name="Example parts"/>
  </tableColumns>
  <tableStyleInfo name="TableStyleLight15" showFirstColumn="0" showLastColumn="0" showRowStripes="1" showColumnStripes="0"/>
</table>
</file>

<file path=xl/tables/table8.xml><?xml version="1.0" encoding="utf-8"?>
<table xmlns="http://schemas.openxmlformats.org/spreadsheetml/2006/main" id="8" name="tblFusion" displayName="tblFusion" ref="A4:E12" headerRowCount="1">
  <autoFilter ref="A4:E12"/>
  <tableColumns count="5">
    <tableColumn id="1" name="Pattern"/>
    <tableColumn id="2" name="What it does"/>
    <tableColumn id="3" name="Why it works"/>
    <tableColumn id="4" name="Worked example"/>
    <tableColumn id="5" name="Try it on"/>
  </tableColumns>
  <tableStyleInfo name="TableStyleLight15" showFirstColumn="0" showLastColumn="0" showRowStripes="1" showColumnStripes="0"/>
</table>
</file>

<file path=xl/tables/table9.xml><?xml version="1.0" encoding="utf-8"?>
<table xmlns="http://schemas.openxmlformats.org/spreadsheetml/2006/main" id="9" name="tblSeeds" displayName="tblSeeds" ref="A4:J92" headerRowCount="1">
  <autoFilter ref="A4:J92"/>
  <tableColumns count="10">
    <tableColumn id="1" name="#"/>
    <tableColumn id="2" name="Invention"/>
    <tableColumn id="3" name="The pitch"/>
    <tableColumn id="4" name="Parts from the catalog"/>
    <tableColumn id="5" name="Other parts"/>
    <tableColumn id="6" name="≈BOM"/>
    <tableColumn id="7" name="Sensors 1× each"/>
    <tableColumn id="8" name="Difficulty"/>
    <tableColumn id="9" name="Themes"/>
    <tableColumn id="10" name="Why it works"/>
  </tableColumns>
  <tableStyleInfo name="TableStyleLight15" showFirstColumn="0" showLastColumn="0" showRowStripes="1" showColumnStripes="0"/>
</table>
</file>

<file path=xl/tables/table10.xml><?xml version="1.0" encoding="utf-8"?>
<table xmlns="http://schemas.openxmlformats.org/spreadsheetml/2006/main" id="10" name="tblI2C" displayName="tblI2C" ref="A6:F27" headerRowCount="1">
  <autoFilter ref="A6:F27"/>
  <tableColumns count="6">
    <tableColumn id="1" name="Address"/>
    <tableColumn id="2" name="# parts"/>
    <tableColumn id="3" name="Conflict?"/>
    <tableColumn id="4" name="Parts sharing it"/>
    <tableColumn id="5" name="Can the address be changed?"/>
    <tableColumn id="6" name="Fix"/>
  </tableColumns>
  <tableStyleInfo name="TableStyleLight15" showFirstColumn="0" showLastColumn="0" showRowStripes="1" showColumnStripes="0"/>
</table>
</file>

<file path=xl/tables/table11.xml><?xml version="1.0" encoding="utf-8"?>
<table xmlns="http://schemas.openxmlformats.org/spreadsheetml/2006/main" id="11" name="tblArchetypes" displayName="tblArchetypes" ref="A4:G14" headerRowCount="1">
  <autoFilter ref="A4:G14"/>
  <tableColumns count="7">
    <tableColumn id="1" name="Archetype"/>
    <tableColumn id="2" name="What it is"/>
    <tableColumn id="3" name="Typical parts"/>
    <tableColumn id="4" name="Power strategy"/>
    <tableColumn id="5" name="Comms"/>
    <tableColumn id="6" name="Where it usually fails"/>
    <tableColumn id="7" name="Good first build"/>
  </tableColumns>
  <tableStyleInfo name="TableStyleLight15" showFirstColumn="0" showLastColumn="0" showRowStripes="1" showColumnStripes="0"/>
</table>
</file>

<file path=xl/tables/table12.xml><?xml version="1.0" encoding="utf-8"?>
<table xmlns="http://schemas.openxmlformats.org/spreadsheetml/2006/main" id="12" name="tblVendors" displayName="tblVendors" ref="A4:F29" headerRowCount="1">
  <autoFilter ref="A4:F29"/>
  <tableColumns count="6">
    <tableColumn id="1" name="Code"/>
    <tableColumn id="2" name="Vendor"/>
    <tableColumn id="3" name="Site"/>
    <tableColumn id="4" name="Region"/>
    <tableColumn id="5" name="Why shop here"/>
    <tableColumn id="6" name="Price level"/>
  </tableColumns>
  <tableStyleInfo name="TableStyleLight15" showFirstColumn="0" showLastColumn="0" showRowStripes="1" showColumnStripes="0"/>
</table>
</file>

<file path=xl/tables/table13.xml><?xml version="1.0" encoding="utf-8"?>
<table xmlns="http://schemas.openxmlformats.org/spreadsheetml/2006/main" id="13" name="tblESP32" displayName="tblESP32" ref="A4:H77" headerRowCount="1">
  <autoFilter ref="A4:H77"/>
  <tableColumns count="8">
    <tableColumn id="1" name="Domain"/>
    <tableColumn id="2" name="Capability"/>
    <tableColumn id="3" name="Status"/>
    <tableColumn id="4" name="Tier"/>
    <tableColumn id="5" name="Required hardware"/>
    <tableColumn id="6" name="Common uses"/>
    <tableColumn id="7" name="Novel combos &amp; invention sparks"/>
    <tableColumn id="8" name="How it actually works"/>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_rels/sheet9.xml.rels><Relationships xmlns="http://schemas.openxmlformats.org/package/2006/relationships"><Relationship Type="http://schemas.openxmlformats.org/officeDocument/2006/relationships/table" Target="/xl/tables/table3.xml" Id="rId1" /></Relationships>
</file>

<file path=xl/worksheets/_rels/sheet10.xml.rels><Relationships xmlns="http://schemas.openxmlformats.org/package/2006/relationships"><Relationship Type="http://schemas.openxmlformats.org/officeDocument/2006/relationships/table" Target="/xl/tables/table4.xml" Id="rId1" /></Relationships>
</file>

<file path=xl/worksheets/_rels/sheet11.xml.rels><Relationships xmlns="http://schemas.openxmlformats.org/package/2006/relationships"><Relationship Type="http://schemas.openxmlformats.org/officeDocument/2006/relationships/table" Target="/xl/tables/table5.xml" Id="rId1" /></Relationships>
</file>

<file path=xl/worksheets/_rels/sheet12.xml.rels><Relationships xmlns="http://schemas.openxmlformats.org/package/2006/relationships"><Relationship Type="http://schemas.openxmlformats.org/officeDocument/2006/relationships/table" Target="/xl/tables/table6.xml" Id="rId1" /></Relationships>
</file>

<file path=xl/worksheets/_rels/sheet13.xml.rels><Relationships xmlns="http://schemas.openxmlformats.org/package/2006/relationships"><Relationship Type="http://schemas.openxmlformats.org/officeDocument/2006/relationships/table" Target="/xl/tables/table7.xml" Id="rId1" /></Relationships>
</file>

<file path=xl/worksheets/_rels/sheet14.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7.xml.rels><Relationships xmlns="http://schemas.openxmlformats.org/package/2006/relationships"><Relationship Type="http://schemas.openxmlformats.org/officeDocument/2006/relationships/table" Target="/xl/tables/table10.xml" Id="rId1" /></Relationships>
</file>

<file path=xl/worksheets/_rels/sheet19.xml.rels><Relationships xmlns="http://schemas.openxmlformats.org/package/2006/relationships"><Relationship Type="http://schemas.openxmlformats.org/officeDocument/2006/relationships/table" Target="/xl/tables/table11.xml" Id="rId1" /></Relationships>
</file>

<file path=xl/worksheets/_rels/sheet20.xml.rels><Relationships xmlns="http://schemas.openxmlformats.org/package/2006/relationships"><Relationship Type="http://schemas.openxmlformats.org/officeDocument/2006/relationships/table" Target="/xl/tables/table12.xml" Id="rId1" /></Relationships>
</file>

<file path=xl/worksheets/_rels/sheet21.xml.rels><Relationships xmlns="http://schemas.openxmlformats.org/package/2006/relationships"><Relationship Type="http://schemas.openxmlformats.org/officeDocument/2006/relationships/table" Target="/xl/tables/table13.xml" Id="rId1" /></Relationships>
</file>

<file path=xl/worksheets/sheet1.xml><?xml version="1.0" encoding="utf-8"?>
<worksheet xmlns="http://schemas.openxmlformats.org/spreadsheetml/2006/main">
  <sheetPr>
    <tabColor rgb="001F2A44"/>
    <outlinePr summaryBelow="1" summaryRight="1"/>
    <pageSetUpPr/>
  </sheetPr>
  <dimension ref="A1:V47"/>
  <sheetViews>
    <sheetView showGridLines="0" zoomScale="100" workbookViewId="0">
      <selection activeCell="A1" sqref="A1"/>
    </sheetView>
  </sheetViews>
  <sheetFormatPr baseColWidth="8" defaultRowHeight="15"/>
  <cols>
    <col width="22" customWidth="1" min="1" max="1"/>
    <col width="30" customWidth="1" min="2" max="2"/>
    <col width="34" customWidth="1" min="3" max="3"/>
    <col width="26" customWidth="1" min="4" max="4"/>
    <col width="22" customWidth="1" min="5" max="5"/>
    <col width="20" customWidth="1" min="6" max="6"/>
    <col width="20" customWidth="1" min="7" max="7"/>
    <col width="20" customWidth="1" min="8" max="8"/>
  </cols>
  <sheetData>
    <row r="1" ht="17" customHeight="1">
      <c r="A1" s="1"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ESP32 SENSOR UNIVERSE — v6 · The Invention Atlas</t>
        </is>
      </c>
      <c r="B2" s="4" t="n"/>
      <c r="C2" s="4" t="n"/>
      <c r="D2" s="4" t="n"/>
      <c r="E2" s="4" t="n"/>
      <c r="F2" s="4" t="n"/>
      <c r="G2" s="4" t="n"/>
      <c r="H2" s="4" t="n"/>
    </row>
    <row r="3" ht="26" customHeight="1">
      <c r="A3" s="5" t="inlineStr">
        <is>
          <t>The most comprehensive maker-sensor reference we could build: what exists, what it costs, where to buy it, what fools it — and, above all, what it could become.</t>
        </is>
      </c>
    </row>
    <row r="4" ht="24" customHeight="1">
      <c r="A4" s="6" t="inlineStr">
        <is>
          <t>THE IDEA</t>
        </is>
      </c>
    </row>
    <row r="5" ht="90" customHeight="1">
      <c r="A5" s="7" t="inlineStr">
        <is>
          <t>The problem with catalogs</t>
        </is>
      </c>
      <c r="B5" s="8" t="inlineStr">
        <is>
          <t>A sensor never measures what you actually want to know. It measures a physical PROXY. A load cell measures grams — the invention infers that a beehive is about to swarm. A barometer measures hPa — the invention infers that a door opened on the third floor. A CT clamp measures amps — the invention infers that Grandma made tea this morning, and is therefore fine.</t>
        </is>
      </c>
    </row>
    <row r="6" ht="69" customHeight="1">
      <c r="A6" s="7" t="inlineStr">
        <is>
          <t>So this document has two directions</t>
        </is>
      </c>
      <c r="B6" s="8" t="inlineStr">
        <is>
          <t>→ Forward: pick a part, see everything it could tell you (Sensor Cards). ← Backward: pick something you want to KNOW, see every route to it (Inference Atlas). The backward direction is where inventions come from, and it is what most parts catalogs never give you.</t>
        </is>
      </c>
    </row>
    <row r="7" ht="117" customHeight="1">
      <c r="A7" s="7" t="inlineStr">
        <is>
          <t>Two facts make it generative</t>
        </is>
      </c>
      <c r="B7" s="8" t="inlineStr">
        <is>
          <t>ONE INFERENCE HAS MANY ROUTES — 'is someone in the room?' can be answered by PIR, mmWave, thermal array, ToF, CO2 rise, Wi-Fi CSI, floor vibration, or a 50c reed switch, and they differ in cost, privacy, power and what fools them. ONE SENSOR SERVES MANY INFERENCES — a single accelerometer yields tilt, impact, vibration spectra, step count, sleep movement, machine load, seismic events and knock signatures. Choosing the route is the design act; seeing all of them is the creative one.</t>
        </is>
      </c>
    </row>
    <row r="9" ht="24" customHeight="1">
      <c r="A9" s="6" t="inlineStr">
        <is>
          <t>WHAT'S IN IT</t>
        </is>
      </c>
    </row>
    <row r="10" ht="26" customHeight="1">
      <c r="A10" s="9" t="inlineStr">
        <is>
          <t>238</t>
        </is>
      </c>
      <c r="B10" s="10" t="inlineStr">
        <is>
          <t>sensors</t>
        </is>
      </c>
      <c r="C10" s="9" t="inlineStr">
        <is>
          <t>0</t>
        </is>
      </c>
      <c r="D10" s="10" t="inlineStr">
        <is>
          <t>actuators &amp; outputs</t>
        </is>
      </c>
      <c r="E10" s="9" t="inlineStr">
        <is>
          <t>0</t>
        </is>
      </c>
      <c r="F10" s="10" t="inlineStr">
        <is>
          <t>glue &amp; signal-chain parts</t>
        </is>
      </c>
      <c r="G10" s="9" t="inlineStr">
        <is>
          <t>0</t>
        </is>
      </c>
      <c r="H10" s="10" t="inlineStr">
        <is>
          <t>boards</t>
        </is>
      </c>
    </row>
    <row r="11" ht="26" customHeight="1">
      <c r="A11" s="9" t="inlineStr">
        <is>
          <t>31</t>
        </is>
      </c>
      <c r="B11" s="10" t="inlineStr">
        <is>
          <t>categories</t>
        </is>
      </c>
      <c r="C11" s="9" t="inlineStr">
        <is>
          <t>99</t>
        </is>
      </c>
      <c r="D11" s="10" t="inlineStr">
        <is>
          <t>physical phenomena</t>
        </is>
      </c>
      <c r="E11" s="9" t="inlineStr">
        <is>
          <t>151</t>
        </is>
      </c>
      <c r="F11" s="10" t="inlineStr">
        <is>
          <t>things you can infer</t>
        </is>
      </c>
      <c r="G11" s="9" t="inlineStr">
        <is>
          <t>88</t>
        </is>
      </c>
      <c r="H11" s="10" t="inlineStr">
        <is>
          <t>invention seeds</t>
        </is>
      </c>
    </row>
    <row r="13" ht="24" customHeight="1">
      <c r="A13" s="6" t="inlineStr">
        <is>
          <t>THE SHEETS</t>
        </is>
      </c>
    </row>
    <row r="14" ht="19" customHeight="1">
      <c r="A14" s="11" t="inlineStr">
        <is>
          <t>Sensor Catalog</t>
        </is>
      </c>
      <c r="B14" s="12" t="inlineStr">
        <is>
          <t>The master table. Filter one category or theme — never read it top to bottom.</t>
        </is>
      </c>
    </row>
    <row r="15" ht="19" customHeight="1">
      <c r="A15" s="11" t="inlineStr">
        <is>
          <t>Sensor Cards</t>
        </is>
      </c>
      <c r="B15" s="12" t="inlineStr">
        <is>
          <t>The same parts laid out to actually READ. Click any catalog ID to jump here.</t>
        </is>
      </c>
    </row>
    <row r="16" ht="19" customHeight="1">
      <c r="A16" s="11" t="inlineStr">
        <is>
          <t>Actuators</t>
        </is>
      </c>
      <c r="B16" s="12" t="inlineStr">
        <is>
          <t>The other half of invention. Sense → decide → ACT. You cannot build with inputs alone.</t>
        </is>
      </c>
    </row>
    <row r="17" ht="19" customHeight="1">
      <c r="A17" s="11" t="inlineStr">
        <is>
          <t>Glue &amp; Signal Chain</t>
        </is>
      </c>
      <c r="B17" s="12" t="inlineStr">
        <is>
          <t>The parts that make analog sensors work. Start with the ADS1115.</t>
        </is>
      </c>
    </row>
    <row r="18" ht="19" customHeight="1">
      <c r="A18" s="11" t="inlineStr">
        <is>
          <t>Boards &amp; Compute</t>
        </is>
      </c>
      <c r="B18" s="12" t="inlineStr">
        <is>
          <t>Which ESP32, and why. C3/C6/H2 have no touch and no DAC — people get this wrong constantly.</t>
        </is>
      </c>
    </row>
    <row r="19" ht="19" customHeight="1">
      <c r="A19" s="11" t="inlineStr">
        <is>
          <t>Phenomenon Index</t>
        </is>
      </c>
      <c r="B19" s="12" t="inlineStr">
        <is>
          <t>“I want to MEASURE X” → every part that can, cheapest first.</t>
        </is>
      </c>
    </row>
    <row r="20" ht="19" customHeight="1">
      <c r="A20" s="11" t="inlineStr">
        <is>
          <t>Inference Atlas</t>
        </is>
      </c>
      <c r="B20" s="12" t="inlineStr">
        <is>
          <t>“I want to KNOW Y” → several routes, differing in cost, privacy and power. The heart of this document.</t>
        </is>
      </c>
    </row>
    <row r="21" ht="19" customHeight="1">
      <c r="A21" s="11" t="inlineStr">
        <is>
          <t>Constraint Navigator</t>
        </is>
      </c>
      <c r="B21" s="12" t="inlineStr">
        <is>
          <t>“I can't touch it / no power / no privacy / $5 max” → what survives.</t>
        </is>
      </c>
    </row>
    <row r="22" ht="19" customHeight="1">
      <c r="A22" s="11" t="inlineStr">
        <is>
          <t>Fusion Grammar</t>
        </is>
      </c>
      <c r="B22" s="12" t="inlineStr">
        <is>
          <t>Eight named ways to combine sensors. Apply any of them to any pair.</t>
        </is>
      </c>
    </row>
    <row r="23" ht="19" customHeight="1">
      <c r="A23" s="11" t="inlineStr">
        <is>
          <t>Synergy Matrix</t>
        </is>
      </c>
      <c r="B23" s="12" t="inlineStr">
        <is>
          <t>Which sensing worlds cross well, with the concrete combo behind every cell.</t>
        </is>
      </c>
    </row>
    <row r="24" ht="19" customHeight="1">
      <c r="A24" s="11" t="inlineStr">
        <is>
          <t>Invention Seeds</t>
        </is>
      </c>
      <c r="B24" s="12" t="inlineStr">
        <is>
          <t>Fully-specified projects with BOMs computed from the catalog.</t>
        </is>
      </c>
    </row>
    <row r="25" ht="19" customHeight="1">
      <c r="A25" s="11" t="inlineStr">
        <is>
          <t>I2C &amp; Wiring</t>
        </is>
      </c>
      <c r="B25" s="12" t="inlineStr">
        <is>
          <t>Address collisions and pin budgets — the sheet that stops projects dying.</t>
        </is>
      </c>
    </row>
    <row r="26" ht="19" customHeight="1">
      <c r="A26" s="11" t="inlineStr">
        <is>
          <t>Power Budget</t>
        </is>
      </c>
      <c r="B26" s="12" t="inlineStr">
        <is>
          <t>Live formulas: parts + duty cycle → battery life.</t>
        </is>
      </c>
    </row>
    <row r="27" ht="19" customHeight="1">
      <c r="A27" s="11" t="inlineStr">
        <is>
          <t>Project Archetypes</t>
        </is>
      </c>
      <c r="B27" s="12" t="inlineStr">
        <is>
          <t>The ten shapes projects take, and where each one usually fails.</t>
        </is>
      </c>
    </row>
    <row r="28" ht="19" customHeight="1">
      <c r="A28" s="11" t="inlineStr">
        <is>
          <t>Provenance</t>
        </is>
      </c>
      <c r="B28" s="12" t="inlineStr">
        <is>
          <t>Which numbers to trust, and how they were checked.</t>
        </is>
      </c>
    </row>
    <row r="30" ht="24" customHeight="1">
      <c r="A30" s="6" t="inlineStr">
        <is>
          <t>SEVEN MOVES THAT PRODUCE IDEAS</t>
        </is>
      </c>
    </row>
    <row r="31" ht="22" customHeight="1">
      <c r="A31" s="13" t="inlineStr">
        <is>
          <t>If you are stuck, run these in order. They work.</t>
        </is>
      </c>
    </row>
    <row r="32" ht="43" customHeight="1">
      <c r="A32" s="14" t="inlineStr">
        <is>
          <t>1 · Start from a question, not a part</t>
        </is>
      </c>
      <c r="B32" s="12" t="inlineStr">
        <is>
          <t>Open the Inference Atlas and read the questions until one itches. Working backward from 'what do I want to know' beats browsing parts every time.</t>
        </is>
      </c>
    </row>
    <row r="33" ht="48" customHeight="1">
      <c r="A33" s="14" t="inlineStr">
        <is>
          <t>2 · Cross two distant categories</t>
        </is>
      </c>
      <c r="B33" s="12" t="inlineStr">
        <is>
          <t>Novelty lives at intersections. Sound × Soil = beehive acoustics. Light × Water = colorimetry. Use the Synergy Matrix as a dartboard and the Fusion Grammar as the move.</t>
        </is>
      </c>
    </row>
    <row r="34" ht="48" customHeight="1">
      <c r="A34" s="14" t="inlineStr">
        <is>
          <t>3 · Add TIME to any sensor</t>
        </is>
      </c>
      <c r="B34" s="12" t="inlineStr">
        <is>
          <t>A sensor is a number; a LOGGED sensor is a story. Weight-over-time is a depletion curve. Vibration-over-time is a bearing dying. This is the cheapest superpower here.</t>
        </is>
      </c>
    </row>
    <row r="35" ht="40" customHeight="1">
      <c r="A35" s="14" t="inlineStr">
        <is>
          <t>4 · Multiply by a fleet</t>
        </is>
      </c>
      <c r="B35" s="12" t="inlineStr">
        <is>
          <t>One node is a gadget; ten are a map. ESP-NOW makes duplication nearly free, and spatial structure is invisible from a single point.</t>
        </is>
      </c>
    </row>
    <row r="36" ht="47" customHeight="1">
      <c r="A36" s="14" t="inlineStr">
        <is>
          <t>5 · Take a constraint seriously</t>
        </is>
      </c>
      <c r="B36" s="12" t="inlineStr">
        <is>
          <t>'It must not see faces.' 'It must run three years on a coin cell.' 'I can't drill the tank.' Constraints eliminate the obvious answer and force the interesting one.</t>
        </is>
      </c>
    </row>
    <row r="37" ht="45" customHeight="1">
      <c r="A37" s="14" t="inlineStr">
        <is>
          <t>6 · Fuse two cheap parts instead of buying one expensive one</t>
        </is>
      </c>
      <c r="B37" s="12" t="inlineStr">
        <is>
          <t>PIR + mmWave = true presence. Sky-IR + humidity = a frost oracle. Two $5 sensors routinely beat one $50 sensor, because their failure modes don't overlap.</t>
        </is>
      </c>
    </row>
    <row r="38" ht="45" customHeight="1">
      <c r="A38" s="14" t="inlineStr">
        <is>
          <t>7 · Make something invisible visible</t>
        </is>
      </c>
      <c r="B38" s="12" t="inlineStr">
        <is>
          <t>The projects people remember expose a hidden layer: CO2, radon, ultrasound, RF, cosmic rays, magnetic fields. Pick an invisible thing and give it a face.</t>
        </is>
      </c>
    </row>
    <row r="40" ht="24" customHeight="1">
      <c r="A40" s="6" t="inlineStr">
        <is>
          <t>HOW TO READ A ROW</t>
        </is>
      </c>
    </row>
    <row r="41" ht="27" customHeight="1">
      <c r="A41" s="7" t="inlineStr">
        <is>
          <t>Difficulty</t>
        </is>
      </c>
      <c r="B41" s="12" t="inlineStr">
        <is>
          <t>1 = Plug and play · 2 = Easy · 3 = Some skill · 4 = Advanced · 5 = Expert</t>
        </is>
      </c>
    </row>
    <row r="42" ht="30" customHeight="1">
      <c r="A42" s="7" t="inlineStr">
        <is>
          <t>Price tier</t>
        </is>
      </c>
      <c r="B42" s="12" t="inlineStr">
        <is>
          <t>free no cost — built in or repurposed · $ under $5 · $$ $5–15 · $$$ $15–50 · $$$$ $50+</t>
        </is>
      </c>
    </row>
    <row r="43" ht="77" customHeight="1">
      <c r="A43" s="7" t="inlineStr">
        <is>
          <t>Contact</t>
        </is>
      </c>
      <c r="B43" s="12" t="inlineStr">
        <is>
          <t>Contact: Must physically touch the subject · Immersed: Must be submerged in / buried in the medium · Through-barrier: Reads through a wall, container or clothing without touching the subject · Standoff: Works across a room (cm to ~10m) · Remote: Works at long range (&gt;10m) or without any local install</t>
        </is>
      </c>
    </row>
    <row r="44" ht="66" customHeight="1">
      <c r="A44" s="7" t="inlineStr">
        <is>
          <t>Privacy</t>
        </is>
      </c>
      <c r="B44" s="12" t="inlineStr">
        <is>
          <t>None: Captures nothing attributable to a person · Aggregate: Reveals that people are present / how many, but not who · Identifiable: Can distinguish or identify specific individuals · Raw-imagery: Captures images or audio a human could review directly</t>
        </is>
      </c>
    </row>
    <row r="45" ht="43" customHeight="1">
      <c r="A45" s="7" t="inlineStr">
        <is>
          <t>Hazard</t>
        </is>
      </c>
      <c r="B45" s="12" t="inlineStr">
        <is>
          <t>A badge here means real risk — mains, high voltage, heat, laser, UV-C, ignition source, toxic or asphyxiant gas. Read the card before you build.</t>
        </is>
      </c>
    </row>
    <row r="46" ht="36" customHeight="1">
      <c r="A46" s="7" t="inlineStr">
        <is>
          <t>What fools it</t>
        </is>
      </c>
      <c r="B46" s="12" t="inlineStr">
        <is>
          <t>The most useful column in the document, and the one almost nobody publishes. Read it before you trust a reading.</t>
        </is>
      </c>
    </row>
    <row r="47" ht="56" customHeight="1">
      <c r="A47" s="7" t="inlineStr">
        <is>
          <t>Confidence</t>
        </is>
      </c>
      <c r="B47" s="12" t="inlineStr">
        <is>
          <t>Verified: Checked against a manufacturer or first-party vendor page · High: Well-established, widely documented; not individually re-checked · Estimate: Approximate — treat the number as a tier, not a quote</t>
        </is>
      </c>
    </row>
  </sheetData>
  <mergeCells count="40">
    <mergeCell ref="A9:H9"/>
    <mergeCell ref="A30:H30"/>
    <mergeCell ref="B6:H6"/>
    <mergeCell ref="B24:H24"/>
    <mergeCell ref="B15:H15"/>
    <mergeCell ref="B33:H33"/>
    <mergeCell ref="B5:H5"/>
    <mergeCell ref="B20:H20"/>
    <mergeCell ref="B37:H37"/>
    <mergeCell ref="B45:H45"/>
    <mergeCell ref="B36:H36"/>
    <mergeCell ref="B32:H32"/>
    <mergeCell ref="B26:H26"/>
    <mergeCell ref="B41:H41"/>
    <mergeCell ref="B35:H35"/>
    <mergeCell ref="B47:H47"/>
    <mergeCell ref="B16:H16"/>
    <mergeCell ref="B7:H7"/>
    <mergeCell ref="B25:H25"/>
    <mergeCell ref="B46:H46"/>
    <mergeCell ref="B22:H22"/>
    <mergeCell ref="A3:H3"/>
    <mergeCell ref="B18:H18"/>
    <mergeCell ref="B27:H27"/>
    <mergeCell ref="B21:H21"/>
    <mergeCell ref="A2:H2"/>
    <mergeCell ref="B43:H43"/>
    <mergeCell ref="B42:H42"/>
    <mergeCell ref="B23:H23"/>
    <mergeCell ref="A4:H4"/>
    <mergeCell ref="B14:H14"/>
    <mergeCell ref="B17:H17"/>
    <mergeCell ref="B44:H44"/>
    <mergeCell ref="B34:H34"/>
    <mergeCell ref="B38:H38"/>
    <mergeCell ref="A13:H13"/>
    <mergeCell ref="B19:H19"/>
    <mergeCell ref="A31:H31"/>
    <mergeCell ref="B28:H28"/>
    <mergeCell ref="A40:H40"/>
  </mergeCells>
  <hyperlinks>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14" location="'Sensor Catalog'!A1" display="Sensor Catalog"/>
    <hyperlink ref="A15" location="'Sensor Cards'!A1" display="Sensor Cards"/>
    <hyperlink ref="A16" location="'Actuators'!A1" display="Actuators"/>
    <hyperlink ref="A17" location="'Glue &amp; Signal Chain'!A1" display="Glue &amp; Signal Chain"/>
    <hyperlink ref="A18" location="'Boards &amp; Compute'!A1" display="Boards &amp; Compute"/>
    <hyperlink ref="A19" location="'Phenomenon Index'!A1" display="Phenomenon Index"/>
    <hyperlink ref="A20" location="'Inference Atlas'!A1" display="Inference Atlas"/>
    <hyperlink ref="A21" location="'Constraint Navigator'!A1" display="Constraint Navigator"/>
    <hyperlink ref="A22" location="'Fusion Grammar'!A1" display="Fusion Grammar"/>
    <hyperlink ref="A23" location="'Synergy Matrix'!A1" display="Synergy Matrix"/>
    <hyperlink ref="A24" location="'Invention Seeds'!A1" display="Invention Seeds"/>
    <hyperlink ref="A25" location="'I2C &amp; Wiring'!A1" display="I2C &amp; Wiring"/>
    <hyperlink ref="A26" location="'Power Budget'!A1" display="Power Budget"/>
    <hyperlink ref="A27" location="'Project Archetypes'!A1" display="Project Archetypes"/>
    <hyperlink ref="A28" location="'Provenance'!A1" display="Provenance"/>
  </hyperlinks>
  <pageMargins left="0.75" right="0.75" top="1" bottom="1" header="0.5" footer="0.5"/>
</worksheet>
</file>

<file path=xl/worksheets/sheet2.xml><?xml version="1.0" encoding="utf-8"?>
<worksheet xmlns="http://schemas.openxmlformats.org/spreadsheetml/2006/main">
  <sheetPr>
    <tabColor rgb="00444444"/>
    <outlinePr summaryBelow="1" summaryRight="1"/>
    <pageSetUpPr/>
  </sheetPr>
  <dimension ref="A1:V101"/>
  <sheetViews>
    <sheetView showGridLines="0" zoomScale="100" workbookViewId="0">
      <selection activeCell="A1" sqref="A1"/>
    </sheetView>
  </sheetViews>
  <sheetFormatPr baseColWidth="8" defaultRowHeight="15"/>
  <cols>
    <col width="26" customWidth="1" min="1" max="1"/>
    <col width="8" customWidth="1" min="2" max="2"/>
    <col width="30" customWidth="1" min="3" max="3"/>
    <col width="6" customWidth="1" min="4" max="4"/>
    <col width="26" customWidth="1" min="5" max="5"/>
    <col width="8" customWidth="1" min="6" max="6"/>
    <col width="30" customWidth="1" min="7" max="7"/>
    <col width="10" customWidth="1" min="8" max="8"/>
  </cols>
  <sheetData>
    <row r="1" ht="17" customHeight="1">
      <c r="A1" s="2" t="inlineStr">
        <is>
          <t>START</t>
        </is>
      </c>
      <c r="B1" s="1"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DASHBOARD — the universe at a glance</t>
        </is>
      </c>
      <c r="B2" s="4" t="n"/>
      <c r="C2" s="4" t="n"/>
      <c r="D2" s="4" t="n"/>
      <c r="E2" s="4" t="n"/>
      <c r="F2" s="4" t="n"/>
      <c r="G2" s="4" t="n"/>
      <c r="H2" s="4" t="n"/>
    </row>
    <row r="3" ht="26" customHeight="1">
      <c r="A3" s="5" t="inlineStr">
        <is>
          <t>Coverage, cost and difficulty across the catalog, plus three kits if you'd rather just start buying.</t>
        </is>
      </c>
    </row>
    <row r="4">
      <c r="A4" s="15" t="inlineStr">
        <is>
          <t>BY CATEGORY  (238 sensors)</t>
        </is>
      </c>
      <c r="E4" s="15" t="inlineStr">
        <is>
          <t>BY THEME</t>
        </is>
      </c>
    </row>
    <row r="5" ht="14" customHeight="1">
      <c r="A5" s="16" t="inlineStr">
        <is>
          <t>Gas &amp; VOC</t>
        </is>
      </c>
      <c r="B5" s="17" t="n">
        <v>18</v>
      </c>
      <c r="C5" s="18" t="inlineStr">
        <is>
          <t>██████████████████████████</t>
        </is>
      </c>
      <c r="E5" s="16" t="inlineStr">
        <is>
          <t>Home</t>
        </is>
      </c>
      <c r="F5" s="17" t="n">
        <v>111</v>
      </c>
      <c r="G5" s="18" t="inlineStr">
        <is>
          <t>██████████████████████████</t>
        </is>
      </c>
    </row>
    <row r="6" ht="14" customHeight="1">
      <c r="A6" s="16" t="inlineStr">
        <is>
          <t>Motion &amp; Vibration</t>
        </is>
      </c>
      <c r="B6" s="17" t="n">
        <v>17</v>
      </c>
      <c r="C6" s="18" t="inlineStr">
        <is>
          <t>█████████████████████████</t>
        </is>
      </c>
      <c r="E6" s="16" t="inlineStr">
        <is>
          <t>Play</t>
        </is>
      </c>
      <c r="F6" s="17" t="n">
        <v>69</v>
      </c>
      <c r="G6" s="18" t="inlineStr">
        <is>
          <t>████████████████</t>
        </is>
      </c>
    </row>
    <row r="7" ht="14" customHeight="1">
      <c r="A7" s="16" t="inlineStr">
        <is>
          <t>Water &amp; Liquid</t>
        </is>
      </c>
      <c r="B7" s="17" t="n">
        <v>14</v>
      </c>
      <c r="C7" s="18" t="inlineStr">
        <is>
          <t>████████████████████</t>
        </is>
      </c>
      <c r="E7" s="16" t="inlineStr">
        <is>
          <t>Health</t>
        </is>
      </c>
      <c r="F7" s="17" t="n">
        <v>65</v>
      </c>
      <c r="G7" s="18" t="inlineStr">
        <is>
          <t>███████████████</t>
        </is>
      </c>
    </row>
    <row r="8" ht="14" customHeight="1">
      <c r="A8" s="16" t="inlineStr">
        <is>
          <t>Distance &amp; Ranging</t>
        </is>
      </c>
      <c r="B8" s="17" t="n">
        <v>12</v>
      </c>
      <c r="C8" s="18" t="inlineStr">
        <is>
          <t>█████████████████</t>
        </is>
      </c>
      <c r="E8" s="16" t="inlineStr">
        <is>
          <t>Wild</t>
        </is>
      </c>
      <c r="F8" s="17" t="n">
        <v>59</v>
      </c>
      <c r="G8" s="18" t="inlineStr">
        <is>
          <t>██████████████</t>
        </is>
      </c>
    </row>
    <row r="9" ht="14" customHeight="1">
      <c r="A9" s="16" t="inlineStr">
        <is>
          <t>Light &amp; UV</t>
        </is>
      </c>
      <c r="B9" s="17" t="n">
        <v>11</v>
      </c>
      <c r="C9" s="18" t="inlineStr">
        <is>
          <t>████████████████</t>
        </is>
      </c>
      <c r="E9" s="16" t="inlineStr">
        <is>
          <t>Safety</t>
        </is>
      </c>
      <c r="F9" s="17" t="n">
        <v>56</v>
      </c>
      <c r="G9" s="18" t="inlineStr">
        <is>
          <t>█████████████</t>
        </is>
      </c>
    </row>
    <row r="10" ht="14" customHeight="1">
      <c r="A10" s="16" t="inlineStr">
        <is>
          <t>Presence &amp; Occupancy</t>
        </is>
      </c>
      <c r="B10" s="17" t="n">
        <v>11</v>
      </c>
      <c r="C10" s="18" t="inlineStr">
        <is>
          <t>████████████████</t>
        </is>
      </c>
      <c r="E10" s="16" t="inlineStr">
        <is>
          <t>MachineHealth</t>
        </is>
      </c>
      <c r="F10" s="17" t="n">
        <v>54</v>
      </c>
      <c r="G10" s="18" t="inlineStr">
        <is>
          <t>█████████████</t>
        </is>
      </c>
    </row>
    <row r="11" ht="14" customHeight="1">
      <c r="A11" s="16" t="inlineStr">
        <is>
          <t>Temperature</t>
        </is>
      </c>
      <c r="B11" s="17" t="n">
        <v>10</v>
      </c>
      <c r="C11" s="18" t="inlineStr">
        <is>
          <t>██████████████</t>
        </is>
      </c>
      <c r="E11" s="16" t="inlineStr">
        <is>
          <t>Grow</t>
        </is>
      </c>
      <c r="F11" s="17" t="n">
        <v>42</v>
      </c>
      <c r="G11" s="18" t="inlineStr">
        <is>
          <t>██████████</t>
        </is>
      </c>
    </row>
    <row r="12" ht="14" customHeight="1">
      <c r="A12" s="16" t="inlineStr">
        <is>
          <t>Biometric &amp; Health</t>
        </is>
      </c>
      <c r="B12" s="17" t="n">
        <v>10</v>
      </c>
      <c r="C12" s="18" t="inlineStr">
        <is>
          <t>██████████████</t>
        </is>
      </c>
      <c r="E12" s="16" t="inlineStr">
        <is>
          <t>Water</t>
        </is>
      </c>
      <c r="F12" s="17" t="n">
        <v>33</v>
      </c>
      <c r="G12" s="18" t="inlineStr">
        <is>
          <t>████████</t>
        </is>
      </c>
    </row>
    <row r="13" ht="14" customHeight="1">
      <c r="A13" s="16" t="inlineStr">
        <is>
          <t>Frontier Sensing</t>
        </is>
      </c>
      <c r="B13" s="17" t="n">
        <v>10</v>
      </c>
      <c r="C13" s="18" t="inlineStr">
        <is>
          <t>██████████████</t>
        </is>
      </c>
      <c r="E13" s="16" t="inlineStr">
        <is>
          <t>Energy</t>
        </is>
      </c>
      <c r="F13" s="17" t="n">
        <v>31</v>
      </c>
      <c r="G13" s="18" t="inlineStr">
        <is>
          <t>███████</t>
        </is>
      </c>
    </row>
    <row r="14" ht="14" customHeight="1">
      <c r="A14" s="16" t="inlineStr">
        <is>
          <t>Sound &amp; Audio</t>
        </is>
      </c>
      <c r="B14" s="17" t="n">
        <v>9</v>
      </c>
      <c r="C14" s="18" t="inlineStr">
        <is>
          <t>█████████████</t>
        </is>
      </c>
      <c r="E14" s="16" t="inlineStr">
        <is>
          <t>Invisible</t>
        </is>
      </c>
      <c r="F14" s="17" t="n">
        <v>29</v>
      </c>
      <c r="G14" s="18" t="inlineStr">
        <is>
          <t>███████</t>
        </is>
      </c>
    </row>
    <row r="15" ht="14" customHeight="1">
      <c r="A15" s="16" t="inlineStr">
        <is>
          <t>Weather &amp; Outdoor</t>
        </is>
      </c>
      <c r="B15" s="17" t="n">
        <v>9</v>
      </c>
      <c r="C15" s="18" t="inlineStr">
        <is>
          <t>█████████████</t>
        </is>
      </c>
      <c r="E15" s="16" t="inlineStr">
        <is>
          <t>Air</t>
        </is>
      </c>
      <c r="F15" s="17" t="n">
        <v>28</v>
      </c>
      <c r="G15" s="18" t="inlineStr">
        <is>
          <t>███████</t>
        </is>
      </c>
    </row>
    <row r="16" ht="14" customHeight="1">
      <c r="A16" s="16" t="inlineStr">
        <is>
          <t>Power &amp; Electrical</t>
        </is>
      </c>
      <c r="B16" s="17" t="n">
        <v>9</v>
      </c>
      <c r="C16" s="18" t="inlineStr">
        <is>
          <t>█████████████</t>
        </is>
      </c>
      <c r="E16" s="16" t="inlineStr">
        <is>
          <t>Robots</t>
        </is>
      </c>
      <c r="F16" s="17" t="n">
        <v>22</v>
      </c>
      <c r="G16" s="18" t="inlineStr">
        <is>
          <t>█████</t>
        </is>
      </c>
    </row>
    <row r="17" ht="14" customHeight="1">
      <c r="A17" s="16" t="inlineStr">
        <is>
          <t>Position &amp; Rotation</t>
        </is>
      </c>
      <c r="B17" s="17" t="n">
        <v>9</v>
      </c>
      <c r="C17" s="18" t="inlineStr">
        <is>
          <t>█████████████</t>
        </is>
      </c>
    </row>
    <row r="18" ht="14" customHeight="1">
      <c r="A18" s="16" t="inlineStr">
        <is>
          <t>Humidity &amp; Moisture</t>
        </is>
      </c>
      <c r="B18" s="17" t="n">
        <v>8</v>
      </c>
      <c r="C18" s="18" t="inlineStr">
        <is>
          <t>████████████</t>
        </is>
      </c>
    </row>
    <row r="19" ht="14" customHeight="1">
      <c r="A19" s="16" t="inlineStr">
        <is>
          <t>Pressure &amp; Altitude</t>
        </is>
      </c>
      <c r="B19" s="17" t="n">
        <v>8</v>
      </c>
      <c r="C19" s="18" t="inlineStr">
        <is>
          <t>████████████</t>
        </is>
      </c>
    </row>
    <row r="20" ht="14" customHeight="1">
      <c r="A20" s="16" t="inlineStr">
        <is>
          <t>Force &amp; Weight</t>
        </is>
      </c>
      <c r="B20" s="17" t="n">
        <v>7</v>
      </c>
      <c r="C20" s="18" t="inlineStr">
        <is>
          <t>██████████</t>
        </is>
      </c>
    </row>
    <row r="21" ht="14" customHeight="1">
      <c r="A21" s="16" t="inlineStr">
        <is>
          <t>Industrial &amp; Automotive</t>
        </is>
      </c>
      <c r="B21" s="17" t="n">
        <v>7</v>
      </c>
      <c r="C21" s="18" t="inlineStr">
        <is>
          <t>██████████</t>
        </is>
      </c>
    </row>
    <row r="22" ht="14" customHeight="1">
      <c r="A22" s="16" t="inlineStr">
        <is>
          <t>Magnetic &amp; Compass</t>
        </is>
      </c>
      <c r="B22" s="17" t="n">
        <v>6</v>
      </c>
      <c r="C22" s="18" t="inlineStr">
        <is>
          <t>█████████</t>
        </is>
      </c>
    </row>
    <row r="23" ht="14" customHeight="1">
      <c r="A23" s="16" t="inlineStr">
        <is>
          <t>Soil &amp; Agriculture</t>
        </is>
      </c>
      <c r="B23" s="17" t="n">
        <v>6</v>
      </c>
      <c r="C23" s="18" t="inlineStr">
        <is>
          <t>█████████</t>
        </is>
      </c>
    </row>
    <row r="24" ht="14" customHeight="1">
      <c r="A24" s="16" t="inlineStr">
        <is>
          <t>Colour &amp; Spectral</t>
        </is>
      </c>
      <c r="B24" s="17" t="n">
        <v>5</v>
      </c>
      <c r="C24" s="18" t="inlineStr">
        <is>
          <t>███████</t>
        </is>
      </c>
    </row>
    <row r="25" ht="14" customHeight="1">
      <c r="A25" s="16" t="inlineStr">
        <is>
          <t>Touch &amp; Capacitive</t>
        </is>
      </c>
      <c r="B25" s="17" t="n">
        <v>5</v>
      </c>
      <c r="C25" s="18" t="inlineStr">
        <is>
          <t>███████</t>
        </is>
      </c>
    </row>
    <row r="26" ht="14" customHeight="1">
      <c r="A26" s="16" t="inlineStr">
        <is>
          <t>Cameras &amp; Vision</t>
        </is>
      </c>
      <c r="B26" s="17" t="n">
        <v>5</v>
      </c>
      <c r="C26" s="18" t="inlineStr">
        <is>
          <t>███████</t>
        </is>
      </c>
    </row>
    <row r="27" ht="14" customHeight="1">
      <c r="A27" s="16" t="inlineStr">
        <is>
          <t>CO2</t>
        </is>
      </c>
      <c r="B27" s="17" t="n">
        <v>4</v>
      </c>
      <c r="C27" s="18" t="inlineStr">
        <is>
          <t>██████</t>
        </is>
      </c>
    </row>
    <row r="28" ht="14" customHeight="1">
      <c r="A28" s="16" t="inlineStr">
        <is>
          <t>Particulate</t>
        </is>
      </c>
      <c r="B28" s="17" t="n">
        <v>4</v>
      </c>
      <c r="C28" s="18" t="inlineStr">
        <is>
          <t>██████</t>
        </is>
      </c>
    </row>
    <row r="29" ht="14" customHeight="1">
      <c r="A29" s="16" t="inlineStr">
        <is>
          <t>Identity &amp; Tags</t>
        </is>
      </c>
      <c r="B29" s="17" t="n">
        <v>4</v>
      </c>
      <c r="C29" s="18" t="inlineStr">
        <is>
          <t>██████</t>
        </is>
      </c>
    </row>
    <row r="30" ht="14" customHeight="1">
      <c r="A30" s="16" t="inlineStr">
        <is>
          <t>GNSS &amp; Positioning</t>
        </is>
      </c>
      <c r="B30" s="17" t="n">
        <v>4</v>
      </c>
      <c r="C30" s="18" t="inlineStr">
        <is>
          <t>██████</t>
        </is>
      </c>
    </row>
    <row r="31" ht="14" customHeight="1">
      <c r="A31" s="16" t="inlineStr">
        <is>
          <t>Thermal Imaging</t>
        </is>
      </c>
      <c r="B31" s="17" t="n">
        <v>4</v>
      </c>
      <c r="C31" s="18" t="inlineStr">
        <is>
          <t>██████</t>
        </is>
      </c>
    </row>
    <row r="32" ht="14" customHeight="1">
      <c r="A32" s="16" t="inlineStr">
        <is>
          <t>Radiation &amp; Nuclear</t>
        </is>
      </c>
      <c r="B32" s="17" t="n">
        <v>4</v>
      </c>
      <c r="C32" s="18" t="inlineStr">
        <is>
          <t>██████</t>
        </is>
      </c>
    </row>
    <row r="33" ht="14" customHeight="1">
      <c r="A33" s="16" t="inlineStr">
        <is>
          <t>Flex &amp; Stretch</t>
        </is>
      </c>
      <c r="B33" s="17" t="n">
        <v>3</v>
      </c>
      <c r="C33" s="18" t="inlineStr">
        <is>
          <t>████</t>
        </is>
      </c>
    </row>
    <row r="34" ht="14" customHeight="1">
      <c r="A34" s="16" t="inlineStr">
        <is>
          <t>Materials &amp; Textiles</t>
        </is>
      </c>
      <c r="B34" s="17" t="n">
        <v>3</v>
      </c>
      <c r="C34" s="18" t="inlineStr">
        <is>
          <t>████</t>
        </is>
      </c>
    </row>
    <row r="35" ht="14" customHeight="1">
      <c r="A35" s="16" t="inlineStr">
        <is>
          <t>RF &amp; Electromagnetic</t>
        </is>
      </c>
      <c r="B35" s="17" t="n">
        <v>2</v>
      </c>
      <c r="C35" s="18" t="inlineStr">
        <is>
          <t>███</t>
        </is>
      </c>
    </row>
    <row r="37">
      <c r="A37" s="15" t="inlineStr">
        <is>
          <t>BY MODALITY</t>
        </is>
      </c>
      <c r="E37" s="15" t="inlineStr">
        <is>
          <t>BY PRICE TIER</t>
        </is>
      </c>
    </row>
    <row r="38" ht="14" customHeight="1">
      <c r="A38" s="16" t="inlineStr">
        <is>
          <t>Thermal</t>
        </is>
      </c>
      <c r="B38" s="17" t="n">
        <v>8</v>
      </c>
      <c r="C38" s="18" t="inlineStr">
        <is>
          <t>██████████████████████████</t>
        </is>
      </c>
      <c r="E38" s="16" t="inlineStr">
        <is>
          <t>$$  $5–15</t>
        </is>
      </c>
      <c r="F38" s="17" t="n">
        <v>98</v>
      </c>
      <c r="G38" s="18" t="inlineStr">
        <is>
          <t>██████████████████████████</t>
        </is>
      </c>
    </row>
    <row r="39" ht="14" customHeight="1">
      <c r="A39" s="16" t="inlineStr">
        <is>
          <t>Chemical</t>
        </is>
      </c>
      <c r="B39" s="17" t="n">
        <v>6</v>
      </c>
      <c r="C39" s="18" t="inlineStr">
        <is>
          <t>████████████████████</t>
        </is>
      </c>
      <c r="E39" s="16" t="inlineStr">
        <is>
          <t>$$$  $15–50</t>
        </is>
      </c>
      <c r="F39" s="17" t="n">
        <v>60</v>
      </c>
      <c r="G39" s="18" t="inlineStr">
        <is>
          <t>████████████████</t>
        </is>
      </c>
    </row>
    <row r="40" ht="14" customHeight="1">
      <c r="A40" s="16" t="inlineStr">
        <is>
          <t>Mechanical</t>
        </is>
      </c>
      <c r="B40" s="17" t="n">
        <v>6</v>
      </c>
      <c r="C40" s="18" t="inlineStr">
        <is>
          <t>████████████████████</t>
        </is>
      </c>
      <c r="E40" s="16" t="inlineStr">
        <is>
          <t>$  under $5</t>
        </is>
      </c>
      <c r="F40" s="17" t="n">
        <v>59</v>
      </c>
      <c r="G40" s="18" t="inlineStr">
        <is>
          <t>████████████████</t>
        </is>
      </c>
    </row>
    <row r="41" ht="14" customHeight="1">
      <c r="A41" s="16" t="inlineStr">
        <is>
          <t>Optical</t>
        </is>
      </c>
      <c r="B41" s="17" t="n">
        <v>4</v>
      </c>
      <c r="C41" s="18" t="inlineStr">
        <is>
          <t>█████████████</t>
        </is>
      </c>
      <c r="E41" s="16" t="inlineStr">
        <is>
          <t>$$$$  $50+</t>
        </is>
      </c>
      <c r="F41" s="17" t="n">
        <v>18</v>
      </c>
      <c r="G41" s="18" t="inlineStr">
        <is>
          <t>█████</t>
        </is>
      </c>
    </row>
    <row r="42" ht="14" customHeight="1">
      <c r="A42" s="16" t="inlineStr">
        <is>
          <t>Electrical</t>
        </is>
      </c>
      <c r="B42" s="17" t="n">
        <v>4</v>
      </c>
      <c r="C42" s="18" t="inlineStr">
        <is>
          <t>█████████████</t>
        </is>
      </c>
      <c r="E42" s="16" t="inlineStr">
        <is>
          <t>free  no cost — built in or repurposed</t>
        </is>
      </c>
      <c r="F42" s="17" t="n">
        <v>3</v>
      </c>
      <c r="G42" s="18" t="inlineStr">
        <is>
          <t>█</t>
        </is>
      </c>
    </row>
    <row r="43" ht="14" customHeight="1">
      <c r="A43" s="16" t="inlineStr">
        <is>
          <t>Acoustic</t>
        </is>
      </c>
      <c r="B43" s="17" t="n">
        <v>3</v>
      </c>
      <c r="C43" s="18" t="inlineStr">
        <is>
          <t>██████████</t>
        </is>
      </c>
    </row>
    <row r="44" ht="14" customHeight="1">
      <c r="A44" s="16" t="inlineStr">
        <is>
          <t>RF</t>
        </is>
      </c>
      <c r="B44" s="17" t="n">
        <v>1</v>
      </c>
      <c r="C44" s="18" t="inlineStr">
        <is>
          <t>███</t>
        </is>
      </c>
    </row>
    <row r="45" ht="14" customHeight="1">
      <c r="A45" s="16" t="inlineStr">
        <is>
          <t>Magnetic</t>
        </is>
      </c>
      <c r="B45" s="17" t="n">
        <v>1</v>
      </c>
      <c r="C45" s="18" t="inlineStr">
        <is>
          <t>███</t>
        </is>
      </c>
    </row>
    <row r="46" ht="14" customHeight="1">
      <c r="A46" s="16" t="inlineStr">
        <is>
          <t>Biological</t>
        </is>
      </c>
      <c r="B46" s="17" t="n">
        <v>1</v>
      </c>
      <c r="C46" s="18" t="inlineStr">
        <is>
          <t>███</t>
        </is>
      </c>
    </row>
    <row r="48">
      <c r="A48" s="15" t="inlineStr">
        <is>
          <t>BY DIFFICULTY</t>
        </is>
      </c>
      <c r="E48" s="15" t="inlineStr">
        <is>
          <t>BY CONTACT CLASS</t>
        </is>
      </c>
    </row>
    <row r="49" ht="14" customHeight="1">
      <c r="A49" s="16" t="inlineStr">
        <is>
          <t>1 · Plug and play</t>
        </is>
      </c>
      <c r="B49" s="17" t="n">
        <v>90</v>
      </c>
      <c r="C49" s="18" t="inlineStr">
        <is>
          <t>██████████████████████████</t>
        </is>
      </c>
      <c r="E49" s="16" t="inlineStr">
        <is>
          <t>Standoff</t>
        </is>
      </c>
      <c r="F49" s="17" t="n">
        <v>17</v>
      </c>
      <c r="G49" s="18" t="inlineStr">
        <is>
          <t>██████████████████████████</t>
        </is>
      </c>
    </row>
    <row r="50" ht="14" customHeight="1">
      <c r="A50" s="16" t="inlineStr">
        <is>
          <t>2 · Easy</t>
        </is>
      </c>
      <c r="B50" s="17" t="n">
        <v>84</v>
      </c>
      <c r="C50" s="18" t="inlineStr">
        <is>
          <t>████████████████████████</t>
        </is>
      </c>
      <c r="E50" s="16" t="inlineStr">
        <is>
          <t>Contact</t>
        </is>
      </c>
      <c r="F50" s="17" t="n">
        <v>10</v>
      </c>
      <c r="G50" s="18" t="inlineStr">
        <is>
          <t>███████████████</t>
        </is>
      </c>
    </row>
    <row r="51" ht="14" customHeight="1">
      <c r="A51" s="16" t="inlineStr">
        <is>
          <t>3 · Some skill</t>
        </is>
      </c>
      <c r="B51" s="17" t="n">
        <v>34</v>
      </c>
      <c r="C51" s="18" t="inlineStr">
        <is>
          <t>██████████</t>
        </is>
      </c>
      <c r="E51" s="16" t="inlineStr">
        <is>
          <t>Through-barrier</t>
        </is>
      </c>
      <c r="F51" s="17" t="n">
        <v>5</v>
      </c>
      <c r="G51" s="18" t="inlineStr">
        <is>
          <t>████████</t>
        </is>
      </c>
    </row>
    <row r="52" ht="14" customHeight="1">
      <c r="A52" s="16" t="inlineStr">
        <is>
          <t>4 · Advanced</t>
        </is>
      </c>
      <c r="B52" s="17" t="n">
        <v>19</v>
      </c>
      <c r="C52" s="18" t="inlineStr">
        <is>
          <t>█████</t>
        </is>
      </c>
      <c r="E52" s="16" t="inlineStr">
        <is>
          <t>Immersed</t>
        </is>
      </c>
      <c r="F52" s="17" t="n">
        <v>2</v>
      </c>
      <c r="G52" s="18" t="inlineStr">
        <is>
          <t>███</t>
        </is>
      </c>
    </row>
    <row r="53" ht="14" customHeight="1">
      <c r="A53" s="16" t="inlineStr">
        <is>
          <t>5 · Expert</t>
        </is>
      </c>
      <c r="B53" s="17" t="n">
        <v>11</v>
      </c>
      <c r="C53" s="18" t="inlineStr">
        <is>
          <t>███</t>
        </is>
      </c>
    </row>
    <row r="55">
      <c r="A55" s="15" t="inlineStr">
        <is>
          <t>BY PRIVACY PROFILE</t>
        </is>
      </c>
      <c r="E55" s="15" t="inlineStr">
        <is>
          <t>BY POWER CLASS</t>
        </is>
      </c>
    </row>
    <row r="56" ht="14" customHeight="1">
      <c r="A56" s="16" t="inlineStr">
        <is>
          <t>None</t>
        </is>
      </c>
      <c r="B56" s="17" t="n">
        <v>26</v>
      </c>
      <c r="C56" s="18" t="inlineStr">
        <is>
          <t>██████████████████████████</t>
        </is>
      </c>
      <c r="E56" s="16" t="inlineStr">
        <is>
          <t>Milliamp</t>
        </is>
      </c>
      <c r="F56" s="17" t="n">
        <v>132</v>
      </c>
      <c r="G56" s="18" t="inlineStr">
        <is>
          <t>██████████████████████████</t>
        </is>
      </c>
    </row>
    <row r="57" ht="14" customHeight="1">
      <c r="A57" s="16" t="inlineStr">
        <is>
          <t>Aggregate</t>
        </is>
      </c>
      <c r="B57" s="17" t="n">
        <v>6</v>
      </c>
      <c r="C57" s="18" t="inlineStr">
        <is>
          <t>██████</t>
        </is>
      </c>
      <c r="E57" s="16" t="inlineStr">
        <is>
          <t>Microamp</t>
        </is>
      </c>
      <c r="F57" s="17" t="n">
        <v>52</v>
      </c>
      <c r="G57" s="18" t="inlineStr">
        <is>
          <t>██████████</t>
        </is>
      </c>
    </row>
    <row r="58" ht="14" customHeight="1">
      <c r="A58" s="16" t="inlineStr">
        <is>
          <t>Raw-imagery</t>
        </is>
      </c>
      <c r="B58" s="17" t="n">
        <v>1</v>
      </c>
      <c r="C58" s="18" t="inlineStr">
        <is>
          <t>█</t>
        </is>
      </c>
      <c r="E58" s="16" t="inlineStr">
        <is>
          <t>Hungry</t>
        </is>
      </c>
      <c r="F58" s="17" t="n">
        <v>39</v>
      </c>
      <c r="G58" s="18" t="inlineStr">
        <is>
          <t>████████</t>
        </is>
      </c>
    </row>
    <row r="59" ht="14" customHeight="1">
      <c r="A59" s="16" t="inlineStr">
        <is>
          <t>Identifiable</t>
        </is>
      </c>
      <c r="B59" s="17" t="n">
        <v>1</v>
      </c>
      <c r="C59" s="18" t="inlineStr">
        <is>
          <t>█</t>
        </is>
      </c>
      <c r="E59" s="16" t="inlineStr">
        <is>
          <t>Zero</t>
        </is>
      </c>
      <c r="F59" s="17" t="n">
        <v>15</v>
      </c>
      <c r="G59" s="18" t="inlineStr">
        <is>
          <t>███</t>
        </is>
      </c>
    </row>
    <row r="62">
      <c r="A62" s="19" t="inlineStr">
        <is>
          <t>chart data (kept for the charts below)</t>
        </is>
      </c>
    </row>
    <row r="63" outlineLevel="1">
      <c r="A63" s="20" t="inlineStr">
        <is>
          <t>Gas &amp; VOC</t>
        </is>
      </c>
      <c r="B63" s="20" t="n">
        <v>18</v>
      </c>
    </row>
    <row r="64" outlineLevel="1">
      <c r="A64" s="20" t="inlineStr">
        <is>
          <t>Motion &amp; Vibration</t>
        </is>
      </c>
      <c r="B64" s="20" t="n">
        <v>17</v>
      </c>
    </row>
    <row r="65" outlineLevel="1">
      <c r="A65" s="20" t="inlineStr">
        <is>
          <t>Water &amp; Liquid</t>
        </is>
      </c>
      <c r="B65" s="20" t="n">
        <v>14</v>
      </c>
    </row>
    <row r="66" outlineLevel="1">
      <c r="A66" s="20" t="inlineStr">
        <is>
          <t>Distance &amp; Ranging</t>
        </is>
      </c>
      <c r="B66" s="20" t="n">
        <v>12</v>
      </c>
    </row>
    <row r="67" outlineLevel="1">
      <c r="A67" s="20" t="inlineStr">
        <is>
          <t>Light &amp; UV</t>
        </is>
      </c>
      <c r="B67" s="20" t="n">
        <v>11</v>
      </c>
    </row>
    <row r="68" outlineLevel="1">
      <c r="A68" s="20" t="inlineStr">
        <is>
          <t>Presence &amp; Occupancy</t>
        </is>
      </c>
      <c r="B68" s="20" t="n">
        <v>11</v>
      </c>
    </row>
    <row r="69" outlineLevel="1">
      <c r="A69" s="20" t="inlineStr">
        <is>
          <t>Temperature</t>
        </is>
      </c>
      <c r="B69" s="20" t="n">
        <v>10</v>
      </c>
    </row>
    <row r="70" outlineLevel="1">
      <c r="A70" s="20" t="inlineStr">
        <is>
          <t>Biometric &amp; Health</t>
        </is>
      </c>
      <c r="B70" s="20" t="n">
        <v>10</v>
      </c>
    </row>
    <row r="71" outlineLevel="1">
      <c r="A71" s="20" t="inlineStr">
        <is>
          <t>Frontier Sensing</t>
        </is>
      </c>
      <c r="B71" s="20" t="n">
        <v>10</v>
      </c>
    </row>
    <row r="72" outlineLevel="1">
      <c r="A72" s="20" t="inlineStr">
        <is>
          <t>Sound &amp; Audio</t>
        </is>
      </c>
      <c r="B72" s="20" t="n">
        <v>9</v>
      </c>
    </row>
    <row r="73" outlineLevel="1">
      <c r="A73" s="20" t="inlineStr">
        <is>
          <t>Weather &amp; Outdoor</t>
        </is>
      </c>
      <c r="B73" s="20" t="n">
        <v>9</v>
      </c>
    </row>
    <row r="74" outlineLevel="1">
      <c r="A74" s="20" t="inlineStr">
        <is>
          <t>Power &amp; Electrical</t>
        </is>
      </c>
      <c r="B74" s="20" t="n">
        <v>9</v>
      </c>
    </row>
    <row r="75" outlineLevel="1">
      <c r="A75" s="20" t="inlineStr">
        <is>
          <t>Position &amp; Rotation</t>
        </is>
      </c>
      <c r="B75" s="20" t="n">
        <v>9</v>
      </c>
    </row>
    <row r="76" outlineLevel="1">
      <c r="A76" s="20" t="inlineStr">
        <is>
          <t>Humidity &amp; Moisture</t>
        </is>
      </c>
      <c r="B76" s="20" t="n">
        <v>8</v>
      </c>
    </row>
    <row r="77" outlineLevel="1">
      <c r="A77" s="20" t="inlineStr">
        <is>
          <t>Pressure &amp; Altitude</t>
        </is>
      </c>
      <c r="B77" s="20" t="n">
        <v>8</v>
      </c>
    </row>
    <row r="78" outlineLevel="1">
      <c r="A78" s="20" t="inlineStr">
        <is>
          <t>Force &amp; Weight</t>
        </is>
      </c>
      <c r="B78" s="20" t="n">
        <v>7</v>
      </c>
    </row>
    <row r="79" outlineLevel="1">
      <c r="A79" s="20" t="inlineStr">
        <is>
          <t>Industrial &amp; Automotive</t>
        </is>
      </c>
      <c r="B79" s="20" t="n">
        <v>7</v>
      </c>
    </row>
    <row r="80" outlineLevel="1">
      <c r="A80" s="20" t="inlineStr">
        <is>
          <t>Magnetic &amp; Compass</t>
        </is>
      </c>
      <c r="B80" s="20" t="n">
        <v>6</v>
      </c>
    </row>
    <row r="81" outlineLevel="1">
      <c r="A81" s="20" t="inlineStr">
        <is>
          <t>Soil &amp; Agriculture</t>
        </is>
      </c>
      <c r="B81" s="20" t="n">
        <v>6</v>
      </c>
    </row>
    <row r="82" outlineLevel="1">
      <c r="A82" s="20" t="inlineStr">
        <is>
          <t>Colour &amp; Spectral</t>
        </is>
      </c>
      <c r="B82" s="20" t="n">
        <v>5</v>
      </c>
    </row>
    <row r="83" outlineLevel="1">
      <c r="A83" s="20" t="inlineStr">
        <is>
          <t>Touch &amp; Capacitive</t>
        </is>
      </c>
      <c r="B83" s="20" t="n">
        <v>5</v>
      </c>
    </row>
    <row r="84" outlineLevel="1">
      <c r="A84" s="20" t="inlineStr">
        <is>
          <t>Cameras &amp; Vision</t>
        </is>
      </c>
      <c r="B84" s="20" t="n">
        <v>5</v>
      </c>
    </row>
    <row r="85" outlineLevel="1">
      <c r="A85" s="20" t="inlineStr">
        <is>
          <t>CO2</t>
        </is>
      </c>
      <c r="B85" s="20" t="n">
        <v>4</v>
      </c>
    </row>
    <row r="86" outlineLevel="1">
      <c r="A86" s="20" t="inlineStr">
        <is>
          <t>Particulate</t>
        </is>
      </c>
      <c r="B86" s="20" t="n">
        <v>4</v>
      </c>
    </row>
    <row r="87" outlineLevel="1">
      <c r="A87" s="20" t="inlineStr">
        <is>
          <t>Identity &amp; Tags</t>
        </is>
      </c>
      <c r="B87" s="20" t="n">
        <v>4</v>
      </c>
    </row>
    <row r="88" outlineLevel="1">
      <c r="A88" s="20" t="inlineStr">
        <is>
          <t>GNSS &amp; Positioning</t>
        </is>
      </c>
      <c r="B88" s="20" t="n">
        <v>4</v>
      </c>
    </row>
    <row r="89" outlineLevel="1">
      <c r="A89" s="20" t="inlineStr">
        <is>
          <t>Thermal Imaging</t>
        </is>
      </c>
      <c r="B89" s="20" t="n">
        <v>4</v>
      </c>
    </row>
    <row r="90" outlineLevel="1">
      <c r="A90" s="20" t="inlineStr">
        <is>
          <t>Radiation &amp; Nuclear</t>
        </is>
      </c>
      <c r="B90" s="20" t="n">
        <v>4</v>
      </c>
    </row>
    <row r="91" outlineLevel="1">
      <c r="A91" s="20" t="inlineStr">
        <is>
          <t>Flex &amp; Stretch</t>
        </is>
      </c>
      <c r="B91" s="20" t="n">
        <v>3</v>
      </c>
    </row>
    <row r="92" outlineLevel="1">
      <c r="A92" s="20" t="inlineStr">
        <is>
          <t>Materials &amp; Textiles</t>
        </is>
      </c>
      <c r="B92" s="20" t="n">
        <v>3</v>
      </c>
    </row>
    <row r="93" outlineLevel="1">
      <c r="A93" s="20" t="inlineStr">
        <is>
          <t>RF &amp; Electromagnetic</t>
        </is>
      </c>
      <c r="B93" s="20" t="n">
        <v>2</v>
      </c>
    </row>
    <row r="94" ht="24" customHeight="1">
      <c r="A94" s="6" t="inlineStr">
        <is>
          <t>CURATED KITS</t>
        </is>
      </c>
    </row>
    <row r="95" ht="22" customHeight="1">
      <c r="A95" s="13" t="inlineStr">
        <is>
          <t>If you want to stop reading and start buying.</t>
        </is>
      </c>
    </row>
    <row r="96" ht="30" customHeight="1">
      <c r="A96" s="21" t="inlineStr">
        <is>
          <t>🎒 $60 Explorer</t>
        </is>
      </c>
      <c r="B96" s="12" t="inlineStr">
        <is>
          <t>ESP32 devkit · BME280 · BH1750 · HC-SR04 · PIR · MPU6050 · DS18B20 · capacitive soil · MPR121 · INA219 · rotary encoder · piezo discs · ADS1115</t>
        </is>
      </c>
    </row>
    <row r="97" ht="26" customHeight="1">
      <c r="A97" s="22" t="inlineStr">
        <is>
          <t>why</t>
        </is>
      </c>
      <c r="B97" s="23" t="inlineStr">
        <is>
          <t>Touches ten categories and every bus. Every classic tutorial works. The complete sensing alphabet, and the ADS1115 fixes the ESP32's worst weakness on day one.</t>
        </is>
      </c>
    </row>
    <row r="98" ht="30" customHeight="1">
      <c r="A98" s="21" t="inlineStr">
        <is>
          <t>🧰 $170 Inventor</t>
        </is>
      </c>
      <c r="B98" s="12" t="inlineStr">
        <is>
          <t>Explorer + SCD41 · LD2410 mmWave · VL53L1X · SHT41 · HX711 + load cell · INMP441 · AS7341 · SGP41 · AS5600 · TCS34725 · flow sensor · leak rope · TCA9548A mux</t>
        </is>
      </c>
    </row>
    <row r="99" ht="26" customHeight="1">
      <c r="A99" s="22" t="inlineStr">
        <is>
          <t>why</t>
        </is>
      </c>
      <c r="B99" s="23" t="inlineStr">
        <is>
          <t>True presence, true CO2, spectral colour, weight, audio. This is the tier where the Inference Atlas opens up, because you can finally take several routes to one answer.</t>
        </is>
      </c>
    </row>
    <row r="100" ht="30" customHeight="1">
      <c r="A100" s="21" t="inlineStr">
        <is>
          <t>🔬 $450 Frontier Lab</t>
        </is>
      </c>
      <c r="B100" s="12" t="inlineStr">
        <is>
          <t>Inventor + MLX90640 thermal · SPS30 · LD2450 XY radar · BNO086 · AS3935 lightning · pH/EC kit · Geiger kit · CC1101 · BME688 ×2 · GNSS · UWB pair · Person Sensor</t>
        </is>
      </c>
    </row>
    <row r="101" ht="26" customHeight="1">
      <c r="A101" s="22" t="inlineStr">
        <is>
          <t>why</t>
        </is>
      </c>
      <c r="B101" s="23" t="inlineStr">
        <is>
          <t>Thermal imaging, radar tracking, isotopes, smell-prints, centimetre ranging, sub-GHz forensics. Nobody at the meetup has this bag.</t>
        </is>
      </c>
    </row>
  </sheetData>
  <mergeCells count="10">
    <mergeCell ref="B99:H99"/>
    <mergeCell ref="B101:H101"/>
    <mergeCell ref="A3:H3"/>
    <mergeCell ref="B96:H96"/>
    <mergeCell ref="B97:H97"/>
    <mergeCell ref="A95:H95"/>
    <mergeCell ref="A2:H2"/>
    <mergeCell ref="B100:H100"/>
    <mergeCell ref="A94:H94"/>
    <mergeCell ref="B98:H98"/>
  </mergeCells>
  <hyperlinks>
    <hyperlink ref="A1" location="'START HERE'!A1" tooltip="START HERE" display="START"/>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C8853A"/>
    <outlinePr summaryBelow="1" summaryRight="1"/>
    <pageSetUpPr fitToPage="1"/>
  </sheetPr>
  <dimension ref="A1:V242"/>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1"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SENSOR CATALOG — everything that measures the world</t>
        </is>
      </c>
      <c r="B2" s="4" t="n"/>
      <c r="C2" s="4" t="n"/>
      <c r="D2" s="4" t="n"/>
      <c r="E2" s="4" t="n"/>
      <c r="F2" s="4" t="n"/>
      <c r="G2" s="4" t="n"/>
      <c r="H2" s="4" t="n"/>
      <c r="I2" s="4" t="n"/>
      <c r="J2" s="4" t="n"/>
      <c r="K2" s="4" t="n"/>
      <c r="L2" s="4" t="n"/>
      <c r="M2" s="4" t="n"/>
      <c r="N2" s="4" t="n"/>
      <c r="O2" s="4" t="n"/>
      <c r="P2" s="4" t="n"/>
      <c r="Q2" s="4" t="n"/>
      <c r="R2" s="4" t="n"/>
    </row>
    <row r="3" ht="26" customHeight="1">
      <c r="A3" s="5" t="inlineStr">
        <is>
          <t>Scannable by design. Click an ID for the full card. Filter by category, modality, contact class, privacy, hazard, price or difficulty.</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ht="28" customHeight="1">
      <c r="A5" s="25" t="inlineStr">
        <is>
          <t>S001</t>
        </is>
      </c>
      <c r="B5" s="26" t="inlineStr">
        <is>
          <t>DS18B20 digital temp probe</t>
        </is>
      </c>
      <c r="C5" s="12" t="inlineStr">
        <is>
          <t>Temperature</t>
        </is>
      </c>
      <c r="D5" s="12" t="inlineStr">
        <is>
          <t>Temperature -55 to +125°C</t>
        </is>
      </c>
      <c r="E5" s="27" t="inlineStr">
        <is>
          <t>Thermal</t>
        </is>
      </c>
      <c r="F5" s="12" t="inlineStr">
        <is>
          <t>1-Wire</t>
        </is>
      </c>
      <c r="G5" s="12" t="inlineStr">
        <is>
          <t>-55 to +125°C</t>
        </is>
      </c>
      <c r="H5" s="12" t="inlineStr">
        <is>
          <t>±0.5°C (-10 to +85°C)</t>
        </is>
      </c>
      <c r="I5" s="12" t="inlineStr">
        <is>
          <t>Contact</t>
        </is>
      </c>
      <c r="J5" s="28" t="inlineStr">
        <is>
          <t>—</t>
        </is>
      </c>
      <c r="K5" s="12" t="inlineStr">
        <is>
          <t>1mA active, 750µA conv</t>
        </is>
      </c>
      <c r="L5" s="29" t="n">
        <v>2.5</v>
      </c>
      <c r="M5" s="29" t="inlineStr">
        <is>
          <t>$</t>
        </is>
      </c>
      <c r="N5" s="29" t="n">
        <v>1</v>
      </c>
      <c r="O5" s="12" t="inlineStr"/>
      <c r="P5" s="12" t="inlineStr">
        <is>
          <t>Active</t>
        </is>
      </c>
      <c r="Q5" s="12" t="inlineStr">
        <is>
          <t>AF, SF, DK, AE, CE</t>
        </is>
      </c>
      <c r="R5" s="12" t="inlineStr">
        <is>
          <t>Home, Grow, Water, MachineHealth</t>
        </is>
      </c>
    </row>
    <row r="6" ht="28" customHeight="1">
      <c r="A6" s="25" t="inlineStr">
        <is>
          <t>S002</t>
        </is>
      </c>
      <c r="B6" s="26" t="inlineStr">
        <is>
          <t>TMP117 ultra-precise temp</t>
        </is>
      </c>
      <c r="C6" s="12" t="inlineStr">
        <is>
          <t>Temperature</t>
        </is>
      </c>
      <c r="D6" s="12" t="inlineStr">
        <is>
          <t>Temperature -55 to +150°C, medical-grade</t>
        </is>
      </c>
      <c r="E6" s="27" t="inlineStr">
        <is>
          <t>Thermal</t>
        </is>
      </c>
      <c r="F6" s="12" t="inlineStr">
        <is>
          <t>I2C</t>
        </is>
      </c>
      <c r="G6" s="12" t="inlineStr">
        <is>
          <t>-55 to +150°C</t>
        </is>
      </c>
      <c r="H6" s="12" t="inlineStr">
        <is>
          <t>±0.1°C (-20 to +50°C)</t>
        </is>
      </c>
      <c r="I6" s="12" t="inlineStr">
        <is>
          <t>Contact</t>
        </is>
      </c>
      <c r="J6" s="28" t="inlineStr">
        <is>
          <t>—</t>
        </is>
      </c>
      <c r="K6" s="12" t="inlineStr">
        <is>
          <t>3.5µA avg @1Hz</t>
        </is>
      </c>
      <c r="L6" s="29" t="n">
        <v>11</v>
      </c>
      <c r="M6" s="29" t="inlineStr">
        <is>
          <t>$$</t>
        </is>
      </c>
      <c r="N6" s="29" t="n">
        <v>1</v>
      </c>
      <c r="O6" s="12" t="inlineStr"/>
      <c r="P6" s="12" t="inlineStr">
        <is>
          <t>Active</t>
        </is>
      </c>
      <c r="Q6" s="12" t="inlineStr">
        <is>
          <t>AF, SF, DK, MO</t>
        </is>
      </c>
      <c r="R6" s="12" t="inlineStr">
        <is>
          <t>Health, Home, MachineHealth</t>
        </is>
      </c>
    </row>
    <row r="7" ht="28" customHeight="1">
      <c r="A7" s="25" t="inlineStr">
        <is>
          <t>S003</t>
        </is>
      </c>
      <c r="B7" s="26" t="inlineStr">
        <is>
          <t>MCP9808 precision temp</t>
        </is>
      </c>
      <c r="C7" s="12" t="inlineStr">
        <is>
          <t>Temperature</t>
        </is>
      </c>
      <c r="D7" s="12" t="inlineStr">
        <is>
          <t>Temperature -40 to +125°C</t>
        </is>
      </c>
      <c r="E7" s="27" t="inlineStr">
        <is>
          <t>Thermal</t>
        </is>
      </c>
      <c r="F7" s="12" t="inlineStr">
        <is>
          <t>I2C</t>
        </is>
      </c>
      <c r="G7" s="12" t="inlineStr">
        <is>
          <t>-40 to +125°C</t>
        </is>
      </c>
      <c r="H7" s="12" t="inlineStr">
        <is>
          <t>±0.25°C typ</t>
        </is>
      </c>
      <c r="I7" s="12" t="inlineStr">
        <is>
          <t>Contact</t>
        </is>
      </c>
      <c r="J7" s="28" t="inlineStr">
        <is>
          <t>—</t>
        </is>
      </c>
      <c r="K7" s="12" t="inlineStr">
        <is>
          <t>200µA typ, 0.1µA shutdown</t>
        </is>
      </c>
      <c r="L7" s="29" t="n">
        <v>5</v>
      </c>
      <c r="M7" s="29" t="inlineStr">
        <is>
          <t>$$</t>
        </is>
      </c>
      <c r="N7" s="29" t="n">
        <v>1</v>
      </c>
      <c r="O7" s="12" t="inlineStr"/>
      <c r="P7" s="12" t="inlineStr">
        <is>
          <t>Active</t>
        </is>
      </c>
      <c r="Q7" s="12" t="inlineStr">
        <is>
          <t>AF, DK, MO, AE</t>
        </is>
      </c>
      <c r="R7" s="12" t="inlineStr">
        <is>
          <t>Home, MachineHealth, Energy</t>
        </is>
      </c>
    </row>
    <row r="8" ht="28" customHeight="1">
      <c r="A8" s="25" t="inlineStr">
        <is>
          <t>S004</t>
        </is>
      </c>
      <c r="B8" s="26" t="inlineStr">
        <is>
          <t>MAX31855 thermocouple amp</t>
        </is>
      </c>
      <c r="C8" s="12" t="inlineStr">
        <is>
          <t>Temperature</t>
        </is>
      </c>
      <c r="D8" s="12" t="inlineStr">
        <is>
          <t>Temperature -200 to +1350°C via K-type thermocouple</t>
        </is>
      </c>
      <c r="E8" s="27" t="inlineStr">
        <is>
          <t>Thermal</t>
        </is>
      </c>
      <c r="F8" s="12" t="inlineStr">
        <is>
          <t>SPI</t>
        </is>
      </c>
      <c r="G8" s="12" t="inlineStr">
        <is>
          <t>-200 to +1350°C (K-type)</t>
        </is>
      </c>
      <c r="H8" s="12" t="inlineStr">
        <is>
          <t>±2°C typ</t>
        </is>
      </c>
      <c r="I8" s="12" t="inlineStr">
        <is>
          <t>Contact</t>
        </is>
      </c>
      <c r="J8" s="28" t="inlineStr">
        <is>
          <t>—</t>
        </is>
      </c>
      <c r="K8" s="12" t="inlineStr">
        <is>
          <t>1.5mA</t>
        </is>
      </c>
      <c r="L8" s="29" t="n">
        <v>15</v>
      </c>
      <c r="M8" s="29" t="inlineStr">
        <is>
          <t>$$$</t>
        </is>
      </c>
      <c r="N8" s="29" t="n">
        <v>2</v>
      </c>
      <c r="O8" s="30" t="inlineStr">
        <is>
          <t>🔥HOT</t>
        </is>
      </c>
      <c r="P8" s="12" t="inlineStr">
        <is>
          <t>Mature</t>
        </is>
      </c>
      <c r="Q8" s="12" t="inlineStr">
        <is>
          <t>AF, SF, DK, MO</t>
        </is>
      </c>
      <c r="R8" s="12" t="inlineStr">
        <is>
          <t>MachineHealth, Home, Play</t>
        </is>
      </c>
    </row>
    <row r="9" ht="28" customHeight="1">
      <c r="A9" s="25" t="inlineStr">
        <is>
          <t>S005</t>
        </is>
      </c>
      <c r="B9" s="26" t="inlineStr">
        <is>
          <t>MAX31865 RTD amplifier</t>
        </is>
      </c>
      <c r="C9" s="12" t="inlineStr">
        <is>
          <t>Temperature</t>
        </is>
      </c>
      <c r="D9" s="12" t="inlineStr">
        <is>
          <t>Temperature -200 to +850°C via PT100/PT1000</t>
        </is>
      </c>
      <c r="E9" s="31" t="inlineStr"/>
      <c r="F9" s="12" t="inlineStr">
        <is>
          <t>SPI</t>
        </is>
      </c>
      <c r="G9" s="12" t="inlineStr"/>
      <c r="H9" s="12" t="inlineStr"/>
      <c r="I9" s="12" t="inlineStr"/>
      <c r="J9" s="12" t="inlineStr"/>
      <c r="K9" s="12" t="inlineStr">
        <is>
          <t>~1mA</t>
        </is>
      </c>
      <c r="L9" s="29" t="n">
        <v>15</v>
      </c>
      <c r="M9" s="29" t="inlineStr">
        <is>
          <t>$$$</t>
        </is>
      </c>
      <c r="N9" s="29" t="n">
        <v>2</v>
      </c>
      <c r="O9" s="12" t="inlineStr"/>
      <c r="P9" s="12" t="inlineStr"/>
      <c r="Q9" s="12" t="inlineStr">
        <is>
          <t>AF, DK, MO</t>
        </is>
      </c>
      <c r="R9" s="12" t="inlineStr">
        <is>
          <t>MachineHealth, Water, Grow</t>
        </is>
      </c>
    </row>
    <row r="10" ht="28" customHeight="1">
      <c r="A10" s="25" t="inlineStr">
        <is>
          <t>S006</t>
        </is>
      </c>
      <c r="B10" s="26" t="inlineStr">
        <is>
          <t>NTC thermistor 10k</t>
        </is>
      </c>
      <c r="C10" s="12" t="inlineStr">
        <is>
          <t>Temperature</t>
        </is>
      </c>
      <c r="D10" s="12" t="inlineStr">
        <is>
          <t>Temperature ~-40 to +125°C (glass bead to +300°C)</t>
        </is>
      </c>
      <c r="E10" s="27" t="inlineStr">
        <is>
          <t>Thermal</t>
        </is>
      </c>
      <c r="F10" s="12" t="inlineStr">
        <is>
          <t>Analog</t>
        </is>
      </c>
      <c r="G10" s="12" t="inlineStr">
        <is>
          <t>-40 to +125°C typical (glass bead to +300°C)</t>
        </is>
      </c>
      <c r="H10" s="12" t="inlineStr">
        <is>
          <t>±1-3% of the bead's tolerance</t>
        </is>
      </c>
      <c r="I10" s="12" t="inlineStr">
        <is>
          <t>Contact</t>
        </is>
      </c>
      <c r="J10" s="28" t="inlineStr">
        <is>
          <t>—</t>
        </is>
      </c>
      <c r="K10" s="12" t="inlineStr">
        <is>
          <t>µA (divider dependent)</t>
        </is>
      </c>
      <c r="L10" s="29" t="n">
        <v>0.3</v>
      </c>
      <c r="M10" s="29" t="inlineStr">
        <is>
          <t>$</t>
        </is>
      </c>
      <c r="N10" s="29" t="n">
        <v>2</v>
      </c>
      <c r="O10" s="12" t="inlineStr"/>
      <c r="P10" s="12" t="inlineStr">
        <is>
          <t>Active</t>
        </is>
      </c>
      <c r="Q10" s="12" t="inlineStr">
        <is>
          <t>AE, DK, MO, AMZ</t>
        </is>
      </c>
      <c r="R10" s="12" t="inlineStr">
        <is>
          <t>MachineHealth, Play</t>
        </is>
      </c>
    </row>
    <row r="11" ht="28" customHeight="1">
      <c r="A11" s="25" t="inlineStr">
        <is>
          <t>S007</t>
        </is>
      </c>
      <c r="B11" s="26" t="inlineStr">
        <is>
          <t>MLX90614 IR thermometer</t>
        </is>
      </c>
      <c r="C11" s="12" t="inlineStr">
        <is>
          <t>Temperature</t>
        </is>
      </c>
      <c r="D11" s="12" t="inlineStr">
        <is>
          <t>Surface temperature of objects from a distance (-70 to +380°C)</t>
        </is>
      </c>
      <c r="E11" s="27" t="inlineStr">
        <is>
          <t>Thermal</t>
        </is>
      </c>
      <c r="F11" s="12" t="inlineStr">
        <is>
          <t>I2C</t>
        </is>
      </c>
      <c r="G11" s="12" t="inlineStr">
        <is>
          <t>-70 to +380°C object</t>
        </is>
      </c>
      <c r="H11" s="12" t="inlineStr">
        <is>
          <t>±0.5°C near body temperature</t>
        </is>
      </c>
      <c r="I11" s="12" t="inlineStr">
        <is>
          <t>Standoff</t>
        </is>
      </c>
      <c r="J11" s="32" t="inlineStr">
        <is>
          <t>◔ aggregate</t>
        </is>
      </c>
      <c r="K11" s="12" t="inlineStr">
        <is>
          <t>1.5mA</t>
        </is>
      </c>
      <c r="L11" s="29" t="n">
        <v>8</v>
      </c>
      <c r="M11" s="29" t="inlineStr">
        <is>
          <t>$$</t>
        </is>
      </c>
      <c r="N11" s="29" t="n">
        <v>1</v>
      </c>
      <c r="O11" s="12" t="inlineStr"/>
      <c r="P11" s="12" t="inlineStr">
        <is>
          <t>Active</t>
        </is>
      </c>
      <c r="Q11" s="12" t="inlineStr">
        <is>
          <t>AF, SF, DK, AE, DFR</t>
        </is>
      </c>
      <c r="R11" s="12" t="inlineStr">
        <is>
          <t>Health, Home, MachineHealth</t>
        </is>
      </c>
    </row>
    <row r="12" ht="28" customHeight="1">
      <c r="A12" s="25" t="inlineStr">
        <is>
          <t>S008</t>
        </is>
      </c>
      <c r="B12" s="26" t="inlineStr">
        <is>
          <t>MLX90632 miniature IR temp</t>
        </is>
      </c>
      <c r="C12" s="12" t="inlineStr">
        <is>
          <t>Temperature</t>
        </is>
      </c>
      <c r="D12" s="12" t="inlineStr">
        <is>
          <t>Non-contact surface/body temp, medical accuracy in tiny SMD</t>
        </is>
      </c>
      <c r="E12" s="31" t="inlineStr"/>
      <c r="F12" s="12" t="inlineStr">
        <is>
          <t>I2C</t>
        </is>
      </c>
      <c r="G12" s="12" t="inlineStr"/>
      <c r="H12" s="12" t="inlineStr"/>
      <c r="I12" s="12" t="inlineStr"/>
      <c r="J12" s="12" t="inlineStr"/>
      <c r="K12" s="12" t="inlineStr">
        <is>
          <t>~1mA</t>
        </is>
      </c>
      <c r="L12" s="29" t="n">
        <v>14</v>
      </c>
      <c r="M12" s="29" t="inlineStr">
        <is>
          <t>$$</t>
        </is>
      </c>
      <c r="N12" s="29" t="n">
        <v>2</v>
      </c>
      <c r="O12" s="12" t="inlineStr"/>
      <c r="P12" s="12" t="inlineStr"/>
      <c r="Q12" s="12" t="inlineStr">
        <is>
          <t>SF, DK, MO</t>
        </is>
      </c>
      <c r="R12" s="12" t="inlineStr">
        <is>
          <t>Health</t>
        </is>
      </c>
    </row>
    <row r="13" ht="28" customHeight="1">
      <c r="A13" s="25" t="inlineStr">
        <is>
          <t>S009</t>
        </is>
      </c>
      <c r="B13" s="26" t="inlineStr">
        <is>
          <t>TMP36 analog temp</t>
        </is>
      </c>
      <c r="C13" s="12" t="inlineStr">
        <is>
          <t>Temperature</t>
        </is>
      </c>
      <c r="D13" s="12" t="inlineStr">
        <is>
          <t>Temperature -40 to +125°C as a simple voltage</t>
        </is>
      </c>
      <c r="E13" s="31" t="inlineStr"/>
      <c r="F13" s="12" t="inlineStr">
        <is>
          <t>Analog</t>
        </is>
      </c>
      <c r="G13" s="12" t="inlineStr"/>
      <c r="H13" s="12" t="inlineStr"/>
      <c r="I13" s="12" t="inlineStr"/>
      <c r="J13" s="12" t="inlineStr"/>
      <c r="K13" s="12" t="inlineStr">
        <is>
          <t>50µA</t>
        </is>
      </c>
      <c r="L13" s="29" t="n">
        <v>1.5</v>
      </c>
      <c r="M13" s="29" t="inlineStr">
        <is>
          <t>$</t>
        </is>
      </c>
      <c r="N13" s="29" t="n">
        <v>1</v>
      </c>
      <c r="O13" s="12" t="inlineStr"/>
      <c r="P13" s="12" t="inlineStr"/>
      <c r="Q13" s="12" t="inlineStr">
        <is>
          <t>AF, SF, DK, AE</t>
        </is>
      </c>
      <c r="R13" s="12" t="inlineStr">
        <is>
          <t>Play, Home</t>
        </is>
      </c>
    </row>
    <row r="14" ht="28" customHeight="1">
      <c r="A14" s="25" t="inlineStr">
        <is>
          <t>S010</t>
        </is>
      </c>
      <c r="B14" s="26" t="inlineStr">
        <is>
          <t>Thermocouple multiplexer board</t>
        </is>
      </c>
      <c r="C14" s="12" t="inlineStr">
        <is>
          <t>Temperature</t>
        </is>
      </c>
      <c r="D14" s="12" t="inlineStr">
        <is>
          <t>Multiple thermocouple channels, various types (K,J,T,N...)</t>
        </is>
      </c>
      <c r="E14" s="31" t="inlineStr"/>
      <c r="F14" s="12" t="inlineStr">
        <is>
          <t>I2C</t>
        </is>
      </c>
      <c r="G14" s="12" t="inlineStr"/>
      <c r="H14" s="12" t="inlineStr"/>
      <c r="I14" s="12" t="inlineStr"/>
      <c r="J14" s="12" t="inlineStr"/>
      <c r="K14" s="12" t="inlineStr">
        <is>
          <t>2.5mA</t>
        </is>
      </c>
      <c r="L14" s="29" t="n">
        <v>13</v>
      </c>
      <c r="M14" s="29" t="inlineStr">
        <is>
          <t>$$</t>
        </is>
      </c>
      <c r="N14" s="29" t="n">
        <v>2</v>
      </c>
      <c r="O14" s="12" t="inlineStr"/>
      <c r="P14" s="12" t="inlineStr"/>
      <c r="Q14" s="12" t="inlineStr">
        <is>
          <t>AF, SF, DK</t>
        </is>
      </c>
      <c r="R14" s="12" t="inlineStr">
        <is>
          <t>Home, MachineHealth, Play</t>
        </is>
      </c>
    </row>
    <row r="15" ht="28" customHeight="1">
      <c r="A15" s="25" t="inlineStr">
        <is>
          <t>S011</t>
        </is>
      </c>
      <c r="B15" s="26" t="inlineStr">
        <is>
          <t>DHT22 / AM2302</t>
        </is>
      </c>
      <c r="C15" s="12" t="inlineStr">
        <is>
          <t>Humidity &amp; Moisture</t>
        </is>
      </c>
      <c r="D15" s="12" t="inlineStr">
        <is>
          <t>Relative humidity 0-100% + temperature</t>
        </is>
      </c>
      <c r="E15" s="33" t="inlineStr">
        <is>
          <t>Chemical</t>
        </is>
      </c>
      <c r="F15" s="12" t="inlineStr">
        <is>
          <t>1-Wire</t>
        </is>
      </c>
      <c r="G15" s="12" t="inlineStr">
        <is>
          <t>0-100% RH, -40 to +80°C</t>
        </is>
      </c>
      <c r="H15" s="12" t="inlineStr">
        <is>
          <t>±2-5% RH, ±0.5°C</t>
        </is>
      </c>
      <c r="I15" s="12" t="inlineStr">
        <is>
          <t>Standoff</t>
        </is>
      </c>
      <c r="J15" s="28" t="inlineStr">
        <is>
          <t>—</t>
        </is>
      </c>
      <c r="K15" s="12" t="inlineStr">
        <is>
          <t>1.5mA measuring</t>
        </is>
      </c>
      <c r="L15" s="29" t="n">
        <v>4</v>
      </c>
      <c r="M15" s="29" t="inlineStr">
        <is>
          <t>$</t>
        </is>
      </c>
      <c r="N15" s="29" t="n">
        <v>1</v>
      </c>
      <c r="O15" s="12" t="inlineStr"/>
      <c r="P15" s="12" t="inlineStr">
        <is>
          <t>NRND</t>
        </is>
      </c>
      <c r="Q15" s="12" t="inlineStr">
        <is>
          <t>AE, AMZ, DFR, CE</t>
        </is>
      </c>
      <c r="R15" s="12" t="inlineStr">
        <is>
          <t>Home, Grow, Wild</t>
        </is>
      </c>
    </row>
    <row r="16" ht="28" customHeight="1">
      <c r="A16" s="25" t="inlineStr">
        <is>
          <t>S012</t>
        </is>
      </c>
      <c r="B16" s="26" t="inlineStr">
        <is>
          <t>SHT41 humidity + temp</t>
        </is>
      </c>
      <c r="C16" s="12" t="inlineStr">
        <is>
          <t>Humidity &amp; Moisture</t>
        </is>
      </c>
      <c r="D16" s="12" t="inlineStr">
        <is>
          <t>RH 0-100% + temperature, fast and accurate</t>
        </is>
      </c>
      <c r="E16" s="33" t="inlineStr">
        <is>
          <t>Chemical</t>
        </is>
      </c>
      <c r="F16" s="12" t="inlineStr">
        <is>
          <t>I2C</t>
        </is>
      </c>
      <c r="G16" s="12" t="inlineStr">
        <is>
          <t>0-100% RH, -40 to +125°C</t>
        </is>
      </c>
      <c r="H16" s="12" t="inlineStr">
        <is>
          <t>±1.8% RH, ±0.2°C</t>
        </is>
      </c>
      <c r="I16" s="12" t="inlineStr">
        <is>
          <t>Standoff</t>
        </is>
      </c>
      <c r="J16" s="28" t="inlineStr">
        <is>
          <t>—</t>
        </is>
      </c>
      <c r="K16" s="12" t="inlineStr">
        <is>
          <t>0.4µA idle, 320µA meas</t>
        </is>
      </c>
      <c r="L16" s="29" t="n">
        <v>6</v>
      </c>
      <c r="M16" s="29" t="inlineStr">
        <is>
          <t>$$</t>
        </is>
      </c>
      <c r="N16" s="29" t="n">
        <v>1</v>
      </c>
      <c r="O16" s="12" t="inlineStr"/>
      <c r="P16" s="12" t="inlineStr">
        <is>
          <t>Active</t>
        </is>
      </c>
      <c r="Q16" s="12" t="inlineStr">
        <is>
          <t>AF, SF, DK, MO, PI</t>
        </is>
      </c>
      <c r="R16" s="12" t="inlineStr">
        <is>
          <t>Home, Health, Grow</t>
        </is>
      </c>
    </row>
    <row r="17" ht="28" customHeight="1">
      <c r="A17" s="25" t="inlineStr">
        <is>
          <t>S013</t>
        </is>
      </c>
      <c r="B17" s="26" t="inlineStr">
        <is>
          <t>BME280 climate combo</t>
        </is>
      </c>
      <c r="C17" s="12" t="inlineStr">
        <is>
          <t>Humidity &amp; Moisture</t>
        </is>
      </c>
      <c r="D17" s="12" t="inlineStr">
        <is>
          <t>Temperature + humidity + barometric pressure</t>
        </is>
      </c>
      <c r="E17" s="33" t="inlineStr">
        <is>
          <t>Chemical</t>
        </is>
      </c>
      <c r="F17" s="12" t="inlineStr">
        <is>
          <t>I2C/SPI</t>
        </is>
      </c>
      <c r="G17" s="12" t="inlineStr">
        <is>
          <t>0-100% RH, 300-1100 hPa, -40 to +85°C</t>
        </is>
      </c>
      <c r="H17" s="12" t="inlineStr">
        <is>
          <t>±3% RH, ±1 hPa, ±1°C</t>
        </is>
      </c>
      <c r="I17" s="12" t="inlineStr">
        <is>
          <t>Standoff</t>
        </is>
      </c>
      <c r="J17" s="28" t="inlineStr">
        <is>
          <t>—</t>
        </is>
      </c>
      <c r="K17" s="12" t="inlineStr">
        <is>
          <t>3.6µA @1Hz all sensors</t>
        </is>
      </c>
      <c r="L17" s="29" t="n">
        <v>6</v>
      </c>
      <c r="M17" s="29" t="inlineStr">
        <is>
          <t>$$</t>
        </is>
      </c>
      <c r="N17" s="29" t="n">
        <v>1</v>
      </c>
      <c r="O17" s="12" t="inlineStr"/>
      <c r="P17" s="12" t="inlineStr">
        <is>
          <t>Active</t>
        </is>
      </c>
      <c r="Q17" s="12" t="inlineStr">
        <is>
          <t>AF, SF, DK, AE, PI</t>
        </is>
      </c>
      <c r="R17" s="12" t="inlineStr">
        <is>
          <t>Home, Wild, Grow</t>
        </is>
      </c>
    </row>
    <row r="18" ht="28" customHeight="1">
      <c r="A18" s="25" t="inlineStr">
        <is>
          <t>S014</t>
        </is>
      </c>
      <c r="B18" s="26" t="inlineStr">
        <is>
          <t>HDC3022 humidity + temp</t>
        </is>
      </c>
      <c r="C18" s="12" t="inlineStr">
        <is>
          <t>Humidity &amp; Moisture</t>
        </is>
      </c>
      <c r="D18" s="12" t="inlineStr">
        <is>
          <t>RH + temp with auto-measurement &amp; alert thresholds</t>
        </is>
      </c>
      <c r="E18" s="31" t="inlineStr"/>
      <c r="F18" s="12" t="inlineStr">
        <is>
          <t>I2C</t>
        </is>
      </c>
      <c r="G18" s="12" t="inlineStr"/>
      <c r="H18" s="12" t="inlineStr"/>
      <c r="I18" s="12" t="inlineStr"/>
      <c r="J18" s="12" t="inlineStr"/>
      <c r="K18" s="12" t="inlineStr">
        <is>
          <t>&lt;1µA sleep auto-mode</t>
        </is>
      </c>
      <c r="L18" s="29" t="n">
        <v>7</v>
      </c>
      <c r="M18" s="29" t="inlineStr">
        <is>
          <t>$$</t>
        </is>
      </c>
      <c r="N18" s="29" t="n">
        <v>1</v>
      </c>
      <c r="O18" s="12" t="inlineStr"/>
      <c r="P18" s="12" t="inlineStr"/>
      <c r="Q18" s="12" t="inlineStr">
        <is>
          <t>AF, DK, MO</t>
        </is>
      </c>
      <c r="R18" s="12" t="inlineStr">
        <is>
          <t>MachineHealth, Home, Wild</t>
        </is>
      </c>
    </row>
    <row r="19" ht="28" customHeight="1">
      <c r="A19" s="25" t="inlineStr">
        <is>
          <t>S015</t>
        </is>
      </c>
      <c r="B19" s="26" t="inlineStr">
        <is>
          <t>SHT31 weatherproof probe</t>
        </is>
      </c>
      <c r="C19" s="12" t="inlineStr">
        <is>
          <t>Humidity &amp; Moisture</t>
        </is>
      </c>
      <c r="D19" s="12" t="inlineStr">
        <is>
          <t>RH + temp in sealed/filtered packaging</t>
        </is>
      </c>
      <c r="E19" s="31" t="inlineStr"/>
      <c r="F19" s="12" t="inlineStr">
        <is>
          <t>I2C</t>
        </is>
      </c>
      <c r="G19" s="12" t="inlineStr"/>
      <c r="H19" s="12" t="inlineStr"/>
      <c r="I19" s="12" t="inlineStr"/>
      <c r="J19" s="12" t="inlineStr"/>
      <c r="K19" s="12" t="inlineStr">
        <is>
          <t>800µA meas</t>
        </is>
      </c>
      <c r="L19" s="29" t="n">
        <v>12</v>
      </c>
      <c r="M19" s="29" t="inlineStr">
        <is>
          <t>$$</t>
        </is>
      </c>
      <c r="N19" s="29" t="n">
        <v>1</v>
      </c>
      <c r="O19" s="12" t="inlineStr"/>
      <c r="P19" s="12" t="inlineStr"/>
      <c r="Q19" s="12" t="inlineStr">
        <is>
          <t>AF, DK, AE, DFR</t>
        </is>
      </c>
      <c r="R19" s="12" t="inlineStr">
        <is>
          <t>Grow, Wild, Home</t>
        </is>
      </c>
    </row>
    <row r="20" ht="28" customHeight="1">
      <c r="A20" s="25" t="inlineStr">
        <is>
          <t>S016</t>
        </is>
      </c>
      <c r="B20" s="26" t="inlineStr">
        <is>
          <t>BMP390 precision barometer</t>
        </is>
      </c>
      <c r="C20" s="12" t="inlineStr">
        <is>
          <t>Pressure &amp; Altitude</t>
        </is>
      </c>
      <c r="D20" s="12" t="inlineStr">
        <is>
          <t>Air pressure 300-1250 hPa → altitude to ±25cm</t>
        </is>
      </c>
      <c r="E20" s="34" t="inlineStr">
        <is>
          <t>Mechanical</t>
        </is>
      </c>
      <c r="F20" s="12" t="inlineStr">
        <is>
          <t>I2C/SPI</t>
        </is>
      </c>
      <c r="G20" s="12" t="inlineStr">
        <is>
          <t>300-1250 hPa</t>
        </is>
      </c>
      <c r="H20" s="12" t="inlineStr">
        <is>
          <t>±50 Pa absolute, ±3 Pa relative</t>
        </is>
      </c>
      <c r="I20" s="12" t="inlineStr">
        <is>
          <t>Standoff</t>
        </is>
      </c>
      <c r="J20" s="28" t="inlineStr">
        <is>
          <t>—</t>
        </is>
      </c>
      <c r="K20" s="12" t="inlineStr">
        <is>
          <t>3.2µA @1Hz</t>
        </is>
      </c>
      <c r="L20" s="29" t="n">
        <v>10</v>
      </c>
      <c r="M20" s="29" t="inlineStr">
        <is>
          <t>$$</t>
        </is>
      </c>
      <c r="N20" s="29" t="n">
        <v>1</v>
      </c>
      <c r="O20" s="12" t="inlineStr"/>
      <c r="P20" s="12" t="inlineStr">
        <is>
          <t>Active</t>
        </is>
      </c>
      <c r="Q20" s="12" t="inlineStr">
        <is>
          <t>AF, SF, DK, MO</t>
        </is>
      </c>
      <c r="R20" s="12" t="inlineStr">
        <is>
          <t>Wild, Home</t>
        </is>
      </c>
    </row>
    <row r="21" ht="28" customHeight="1">
      <c r="A21" s="25" t="inlineStr">
        <is>
          <t>S017</t>
        </is>
      </c>
      <c r="B21" s="26" t="inlineStr">
        <is>
          <t>DPS310 barometer</t>
        </is>
      </c>
      <c r="C21" s="12" t="inlineStr">
        <is>
          <t>Pressure &amp; Altitude</t>
        </is>
      </c>
      <c r="D21" s="12" t="inlineStr">
        <is>
          <t>Air pressure + temp; ~±5cm relative altitude in low-noise modes</t>
        </is>
      </c>
      <c r="E21" s="31" t="inlineStr"/>
      <c r="F21" s="12" t="inlineStr">
        <is>
          <t>I2C/SPI</t>
        </is>
      </c>
      <c r="G21" s="12" t="inlineStr"/>
      <c r="H21" s="12" t="inlineStr"/>
      <c r="I21" s="12" t="inlineStr"/>
      <c r="J21" s="12" t="inlineStr"/>
      <c r="K21" s="12" t="inlineStr">
        <is>
          <t>1.7µA @1Hz</t>
        </is>
      </c>
      <c r="L21" s="29" t="n">
        <v>7</v>
      </c>
      <c r="M21" s="29" t="inlineStr">
        <is>
          <t>$$</t>
        </is>
      </c>
      <c r="N21" s="29" t="n">
        <v>1</v>
      </c>
      <c r="O21" s="12" t="inlineStr"/>
      <c r="P21" s="12" t="inlineStr"/>
      <c r="Q21" s="12" t="inlineStr">
        <is>
          <t>AF, DK, MO</t>
        </is>
      </c>
      <c r="R21" s="12" t="inlineStr">
        <is>
          <t>MachineHealth, Home</t>
        </is>
      </c>
    </row>
    <row r="22" ht="28" customHeight="1">
      <c r="A22" s="25" t="inlineStr">
        <is>
          <t>S018</t>
        </is>
      </c>
      <c r="B22" s="26" t="inlineStr">
        <is>
          <t>MS5611 high-res altimeter</t>
        </is>
      </c>
      <c r="C22" s="12" t="inlineStr">
        <is>
          <t>Pressure &amp; Altitude</t>
        </is>
      </c>
      <c r="D22" s="12" t="inlineStr">
        <is>
          <t>Pressure 10-1200 mbar, the drone-racing standard</t>
        </is>
      </c>
      <c r="E22" s="31" t="inlineStr"/>
      <c r="F22" s="12" t="inlineStr">
        <is>
          <t>I2C/SPI</t>
        </is>
      </c>
      <c r="G22" s="12" t="inlineStr"/>
      <c r="H22" s="12" t="inlineStr"/>
      <c r="I22" s="12" t="inlineStr"/>
      <c r="J22" s="12" t="inlineStr"/>
      <c r="K22" s="12" t="inlineStr">
        <is>
          <t>12.5µA @1Hz</t>
        </is>
      </c>
      <c r="L22" s="29" t="n">
        <v>6</v>
      </c>
      <c r="M22" s="29" t="inlineStr">
        <is>
          <t>$$</t>
        </is>
      </c>
      <c r="N22" s="29" t="n">
        <v>2</v>
      </c>
      <c r="O22" s="12" t="inlineStr"/>
      <c r="P22" s="12" t="inlineStr"/>
      <c r="Q22" s="12" t="inlineStr">
        <is>
          <t>AE, DK, MO, AMZ</t>
        </is>
      </c>
      <c r="R22" s="12" t="inlineStr">
        <is>
          <t>Wild, Play</t>
        </is>
      </c>
    </row>
    <row r="23" ht="28" customHeight="1">
      <c r="A23" s="25" t="inlineStr">
        <is>
          <t>S019</t>
        </is>
      </c>
      <c r="B23" s="26" t="inlineStr">
        <is>
          <t>LPS22HB pressure sensor</t>
        </is>
      </c>
      <c r="C23" s="12" t="inlineStr">
        <is>
          <t>Pressure &amp; Altitude</t>
        </is>
      </c>
      <c r="D23" s="12" t="inlineStr">
        <is>
          <t>Pressure 260-1260 hPa; LPS28 does water depth too</t>
        </is>
      </c>
      <c r="E23" s="31" t="inlineStr"/>
      <c r="F23" s="12" t="inlineStr">
        <is>
          <t>I2C/SPI</t>
        </is>
      </c>
      <c r="G23" s="12" t="inlineStr"/>
      <c r="H23" s="12" t="inlineStr"/>
      <c r="I23" s="12" t="inlineStr"/>
      <c r="J23" s="12" t="inlineStr"/>
      <c r="K23" s="12" t="inlineStr">
        <is>
          <t>3µA @1Hz</t>
        </is>
      </c>
      <c r="L23" s="29" t="n">
        <v>6</v>
      </c>
      <c r="M23" s="29" t="inlineStr">
        <is>
          <t>$$</t>
        </is>
      </c>
      <c r="N23" s="29" t="n">
        <v>1</v>
      </c>
      <c r="O23" s="12" t="inlineStr"/>
      <c r="P23" s="12" t="inlineStr"/>
      <c r="Q23" s="12" t="inlineStr">
        <is>
          <t>AF, SF, DK, MO, PI</t>
        </is>
      </c>
      <c r="R23" s="12" t="inlineStr">
        <is>
          <t>Water, Health, Wild</t>
        </is>
      </c>
    </row>
    <row r="24" ht="28" customHeight="1">
      <c r="A24" s="25" t="inlineStr">
        <is>
          <t>S020</t>
        </is>
      </c>
      <c r="B24" s="26" t="inlineStr">
        <is>
          <t>SDP810 differential pressure</t>
        </is>
      </c>
      <c r="C24" s="12" t="inlineStr">
        <is>
          <t>Pressure &amp; Altitude</t>
        </is>
      </c>
      <c r="D24" s="12" t="inlineStr">
        <is>
          <t>Tiny pressure DIFFERENCES between two ports (±500Pa)</t>
        </is>
      </c>
      <c r="E24" s="34" t="inlineStr">
        <is>
          <t>Mechanical</t>
        </is>
      </c>
      <c r="F24" s="12" t="inlineStr">
        <is>
          <t>I2C</t>
        </is>
      </c>
      <c r="G24" s="12" t="inlineStr">
        <is>
          <t>±500 Pa</t>
        </is>
      </c>
      <c r="H24" s="12" t="inlineStr">
        <is>
          <t>±3% of reading</t>
        </is>
      </c>
      <c r="I24" s="12" t="inlineStr">
        <is>
          <t>Through-barrier</t>
        </is>
      </c>
      <c r="J24" s="28" t="inlineStr">
        <is>
          <t>—</t>
        </is>
      </c>
      <c r="K24" s="12" t="inlineStr">
        <is>
          <t>5mA</t>
        </is>
      </c>
      <c r="L24" s="29" t="n">
        <v>35</v>
      </c>
      <c r="M24" s="29" t="inlineStr">
        <is>
          <t>$$$</t>
        </is>
      </c>
      <c r="N24" s="29" t="n">
        <v>2</v>
      </c>
      <c r="O24" s="12" t="inlineStr"/>
      <c r="P24" s="12" t="inlineStr">
        <is>
          <t>Active</t>
        </is>
      </c>
      <c r="Q24" s="12" t="inlineStr">
        <is>
          <t>DK, MO, SS</t>
        </is>
      </c>
      <c r="R24" s="12" t="inlineStr">
        <is>
          <t>Air, MachineHealth, Home</t>
        </is>
      </c>
    </row>
    <row r="25" ht="28" customHeight="1">
      <c r="A25" s="25" t="inlineStr">
        <is>
          <t>S021</t>
        </is>
      </c>
      <c r="B25" s="26" t="inlineStr">
        <is>
          <t>MPRLS ported pressure</t>
        </is>
      </c>
      <c r="C25" s="12" t="inlineStr">
        <is>
          <t>Pressure &amp; Altitude</t>
        </is>
      </c>
      <c r="D25" s="12" t="inlineStr">
        <is>
          <t>0-25 PSI ABSOLUTE pressure via a physical port you can tube</t>
        </is>
      </c>
      <c r="E25" s="31" t="inlineStr"/>
      <c r="F25" s="12" t="inlineStr">
        <is>
          <t>I2C</t>
        </is>
      </c>
      <c r="G25" s="12" t="inlineStr"/>
      <c r="H25" s="12" t="inlineStr"/>
      <c r="I25" s="12" t="inlineStr"/>
      <c r="J25" s="12" t="inlineStr"/>
      <c r="K25" s="12" t="inlineStr">
        <is>
          <t>2mA meas</t>
        </is>
      </c>
      <c r="L25" s="29" t="n">
        <v>15</v>
      </c>
      <c r="M25" s="29" t="inlineStr">
        <is>
          <t>$$$</t>
        </is>
      </c>
      <c r="N25" s="29" t="n">
        <v>1</v>
      </c>
      <c r="O25" s="12" t="inlineStr"/>
      <c r="P25" s="12" t="inlineStr"/>
      <c r="Q25" s="12" t="inlineStr">
        <is>
          <t>AF, DK, MO</t>
        </is>
      </c>
      <c r="R25" s="12" t="inlineStr">
        <is>
          <t>Grow, Water, Health</t>
        </is>
      </c>
    </row>
    <row r="26" ht="28" customHeight="1">
      <c r="A26" s="25" t="inlineStr">
        <is>
          <t>S022</t>
        </is>
      </c>
      <c r="B26" s="26" t="inlineStr">
        <is>
          <t>XGZP6897D low-range diff pressure</t>
        </is>
      </c>
      <c r="C26" s="12" t="inlineStr">
        <is>
          <t>Pressure &amp; Altitude</t>
        </is>
      </c>
      <c r="D26" s="12" t="inlineStr">
        <is>
          <t>±500Pa-class differential pressure, budget tier</t>
        </is>
      </c>
      <c r="E26" s="31" t="inlineStr"/>
      <c r="F26" s="12" t="inlineStr">
        <is>
          <t>I2C</t>
        </is>
      </c>
      <c r="G26" s="12" t="inlineStr"/>
      <c r="H26" s="12" t="inlineStr"/>
      <c r="I26" s="12" t="inlineStr"/>
      <c r="J26" s="12" t="inlineStr"/>
      <c r="K26" s="12" t="inlineStr">
        <is>
          <t>2.5mA</t>
        </is>
      </c>
      <c r="L26" s="29" t="n">
        <v>6</v>
      </c>
      <c r="M26" s="29" t="inlineStr">
        <is>
          <t>$$</t>
        </is>
      </c>
      <c r="N26" s="29" t="n">
        <v>2</v>
      </c>
      <c r="O26" s="12" t="inlineStr"/>
      <c r="P26" s="12" t="inlineStr"/>
      <c r="Q26" s="12" t="inlineStr">
        <is>
          <t>AE</t>
        </is>
      </c>
      <c r="R26" s="12" t="inlineStr">
        <is>
          <t>Home, Air, Safety</t>
        </is>
      </c>
    </row>
    <row r="27" ht="28" customHeight="1">
      <c r="A27" s="25" t="inlineStr">
        <is>
          <t>S023</t>
        </is>
      </c>
      <c r="B27" s="26" t="inlineStr">
        <is>
          <t>BME688 gas + climate AI</t>
        </is>
      </c>
      <c r="C27" s="12" t="inlineStr">
        <is>
          <t>Gas &amp; VOC</t>
        </is>
      </c>
      <c r="D27" s="12" t="inlineStr">
        <is>
          <t>VOC/gas resistance + temp + RH + pressure (4-in-1)</t>
        </is>
      </c>
      <c r="E27" s="33" t="inlineStr">
        <is>
          <t>Chemical</t>
        </is>
      </c>
      <c r="F27" s="12" t="inlineStr">
        <is>
          <t>I2C/SPI</t>
        </is>
      </c>
      <c r="G27" s="12" t="inlineStr">
        <is>
          <t>VOC/gas resistance; IAQ 0-500 via BSEC</t>
        </is>
      </c>
      <c r="H27" s="12" t="inlineStr">
        <is>
          <t>Relative, not absolute ppm</t>
        </is>
      </c>
      <c r="I27" s="12" t="inlineStr">
        <is>
          <t>Standoff</t>
        </is>
      </c>
      <c r="J27" s="28" t="inlineStr">
        <is>
          <t>—</t>
        </is>
      </c>
      <c r="K27" s="12" t="inlineStr">
        <is>
          <t>0.9mA gas scan</t>
        </is>
      </c>
      <c r="L27" s="29" t="n">
        <v>15</v>
      </c>
      <c r="M27" s="29" t="inlineStr">
        <is>
          <t>$$$</t>
        </is>
      </c>
      <c r="N27" s="29" t="n">
        <v>2</v>
      </c>
      <c r="O27" s="30" t="inlineStr">
        <is>
          <t>🔥HOT</t>
        </is>
      </c>
      <c r="P27" s="12" t="inlineStr">
        <is>
          <t>Active</t>
        </is>
      </c>
      <c r="Q27" s="12" t="inlineStr">
        <is>
          <t>AF, SF, DK, MO, PI</t>
        </is>
      </c>
      <c r="R27" s="12" t="inlineStr">
        <is>
          <t>Air, Home, Health</t>
        </is>
      </c>
    </row>
    <row r="28" ht="28" customHeight="1">
      <c r="A28" s="25" t="inlineStr">
        <is>
          <t>S024</t>
        </is>
      </c>
      <c r="B28" s="26" t="inlineStr">
        <is>
          <t>SGP40 VOC index</t>
        </is>
      </c>
      <c r="C28" s="12" t="inlineStr">
        <is>
          <t>Gas &amp; VOC</t>
        </is>
      </c>
      <c r="D28" s="12" t="inlineStr">
        <is>
          <t>VOC index 0-500 (SGP41 adds NOx index)</t>
        </is>
      </c>
      <c r="E28" s="31" t="inlineStr"/>
      <c r="F28" s="12" t="inlineStr">
        <is>
          <t>I2C</t>
        </is>
      </c>
      <c r="G28" s="12" t="inlineStr"/>
      <c r="H28" s="12" t="inlineStr"/>
      <c r="I28" s="12" t="inlineStr"/>
      <c r="J28" s="12" t="inlineStr"/>
      <c r="K28" s="12" t="inlineStr">
        <is>
          <t>2.6mA</t>
        </is>
      </c>
      <c r="L28" s="29" t="n">
        <v>12</v>
      </c>
      <c r="M28" s="29" t="inlineStr">
        <is>
          <t>$$</t>
        </is>
      </c>
      <c r="N28" s="29" t="n">
        <v>1</v>
      </c>
      <c r="O28" s="12" t="inlineStr"/>
      <c r="P28" s="12" t="inlineStr"/>
      <c r="Q28" s="12" t="inlineStr">
        <is>
          <t>AF, SF, DK, MO</t>
        </is>
      </c>
      <c r="R28" s="12" t="inlineStr">
        <is>
          <t>Air, Home, Health</t>
        </is>
      </c>
    </row>
    <row r="29" ht="28" customHeight="1">
      <c r="A29" s="25" t="inlineStr">
        <is>
          <t>S025</t>
        </is>
      </c>
      <c r="B29" s="26" t="inlineStr">
        <is>
          <t>ENS160 air quality</t>
        </is>
      </c>
      <c r="C29" s="12" t="inlineStr">
        <is>
          <t>Gas &amp; VOC</t>
        </is>
      </c>
      <c r="D29" s="12" t="inlineStr">
        <is>
          <t>eCO2, TVOC and AQI-UBA rating onboard</t>
        </is>
      </c>
      <c r="E29" s="31" t="inlineStr"/>
      <c r="F29" s="12" t="inlineStr">
        <is>
          <t>I2C/SPI</t>
        </is>
      </c>
      <c r="G29" s="12" t="inlineStr"/>
      <c r="H29" s="12" t="inlineStr"/>
      <c r="I29" s="12" t="inlineStr"/>
      <c r="J29" s="12" t="inlineStr"/>
      <c r="K29" s="12" t="inlineStr">
        <is>
          <t>29mA hotplate on</t>
        </is>
      </c>
      <c r="L29" s="29" t="n">
        <v>9</v>
      </c>
      <c r="M29" s="29" t="inlineStr">
        <is>
          <t>$$</t>
        </is>
      </c>
      <c r="N29" s="29" t="n">
        <v>1</v>
      </c>
      <c r="O29" s="12" t="inlineStr"/>
      <c r="P29" s="12" t="inlineStr"/>
      <c r="Q29" s="12" t="inlineStr">
        <is>
          <t>AF, SF, DK, AE, DFR</t>
        </is>
      </c>
      <c r="R29" s="12" t="inlineStr">
        <is>
          <t>Air, Home</t>
        </is>
      </c>
    </row>
    <row r="30" ht="28" customHeight="1">
      <c r="A30" s="25" t="inlineStr">
        <is>
          <t>S026</t>
        </is>
      </c>
      <c r="B30" s="26" t="inlineStr">
        <is>
          <t>MQ-2 smoke/LPG gas</t>
        </is>
      </c>
      <c r="C30" s="12" t="inlineStr">
        <is>
          <t>Gas &amp; VOC</t>
        </is>
      </c>
      <c r="D30" s="12" t="inlineStr">
        <is>
          <t>Smoke, LPG, propane, methane, alcohol (broad/crude)</t>
        </is>
      </c>
      <c r="E30" s="33" t="inlineStr">
        <is>
          <t>Chemical</t>
        </is>
      </c>
      <c r="F30" s="12" t="inlineStr">
        <is>
          <t>Analog/Digital</t>
        </is>
      </c>
      <c r="G30" s="12" t="inlineStr">
        <is>
          <t>200-10000 ppm class</t>
        </is>
      </c>
      <c r="H30" s="12" t="inlineStr">
        <is>
          <t>Qualitative only</t>
        </is>
      </c>
      <c r="I30" s="12" t="inlineStr">
        <is>
          <t>Standoff</t>
        </is>
      </c>
      <c r="J30" s="28" t="inlineStr">
        <is>
          <t>—</t>
        </is>
      </c>
      <c r="K30" s="12" t="inlineStr">
        <is>
          <t>150mA heater!</t>
        </is>
      </c>
      <c r="L30" s="29" t="n">
        <v>2</v>
      </c>
      <c r="M30" s="29" t="inlineStr">
        <is>
          <t>$</t>
        </is>
      </c>
      <c r="N30" s="29" t="n">
        <v>2</v>
      </c>
      <c r="O30" s="30" t="inlineStr">
        <is>
          <t>🔥HOT 💥IGNITION ☠TOXIC</t>
        </is>
      </c>
      <c r="P30" s="12" t="inlineStr">
        <is>
          <t>Mature</t>
        </is>
      </c>
      <c r="Q30" s="12" t="inlineStr">
        <is>
          <t>AE, AMZ, DFR, CE</t>
        </is>
      </c>
      <c r="R30" s="12" t="inlineStr">
        <is>
          <t>Safety, Home, Air</t>
        </is>
      </c>
    </row>
    <row r="31" ht="28" customHeight="1">
      <c r="A31" s="25" t="inlineStr">
        <is>
          <t>S027</t>
        </is>
      </c>
      <c r="B31" s="26" t="inlineStr">
        <is>
          <t>MQ-3 alcohol sensor</t>
        </is>
      </c>
      <c r="C31" s="12" t="inlineStr">
        <is>
          <t>Gas &amp; VOC</t>
        </is>
      </c>
      <c r="D31" s="12" t="inlineStr">
        <is>
          <t>Alcohol vapour 0.04-4 mg/L</t>
        </is>
      </c>
      <c r="E31" s="31" t="inlineStr"/>
      <c r="F31" s="12" t="inlineStr">
        <is>
          <t>Analog</t>
        </is>
      </c>
      <c r="G31" s="12" t="inlineStr"/>
      <c r="H31" s="12" t="inlineStr"/>
      <c r="I31" s="12" t="inlineStr"/>
      <c r="J31" s="12" t="inlineStr"/>
      <c r="K31" s="12" t="inlineStr">
        <is>
          <t>150mA heater</t>
        </is>
      </c>
      <c r="L31" s="29" t="n">
        <v>2.5</v>
      </c>
      <c r="M31" s="29" t="inlineStr">
        <is>
          <t>$</t>
        </is>
      </c>
      <c r="N31" s="29" t="n">
        <v>2</v>
      </c>
      <c r="O31" s="12" t="inlineStr"/>
      <c r="P31" s="12" t="inlineStr"/>
      <c r="Q31" s="12" t="inlineStr">
        <is>
          <t>AE, AMZ, SF, DFR</t>
        </is>
      </c>
      <c r="R31" s="12" t="inlineStr">
        <is>
          <t>Play, Grow, Health</t>
        </is>
      </c>
    </row>
    <row r="32" ht="28" customHeight="1">
      <c r="A32" s="25" t="inlineStr">
        <is>
          <t>S028</t>
        </is>
      </c>
      <c r="B32" s="26" t="inlineStr">
        <is>
          <t>MQ-7 carbon monoxide</t>
        </is>
      </c>
      <c r="C32" s="12" t="inlineStr">
        <is>
          <t>Gas &amp; VOC</t>
        </is>
      </c>
      <c r="D32" s="12" t="inlineStr">
        <is>
          <t>CO 20-2000ppm (requires heater cycling)</t>
        </is>
      </c>
      <c r="E32" s="31" t="inlineStr"/>
      <c r="F32" s="12" t="inlineStr">
        <is>
          <t>PWM/Analog</t>
        </is>
      </c>
      <c r="G32" s="12" t="inlineStr"/>
      <c r="H32" s="12" t="inlineStr"/>
      <c r="I32" s="12" t="inlineStr"/>
      <c r="J32" s="12" t="inlineStr"/>
      <c r="K32" s="12" t="inlineStr">
        <is>
          <t>~70mA avg</t>
        </is>
      </c>
      <c r="L32" s="29" t="n">
        <v>2.5</v>
      </c>
      <c r="M32" s="29" t="inlineStr">
        <is>
          <t>$</t>
        </is>
      </c>
      <c r="N32" s="29" t="n">
        <v>3</v>
      </c>
      <c r="O32" s="12" t="inlineStr"/>
      <c r="P32" s="12" t="inlineStr"/>
      <c r="Q32" s="12" t="inlineStr">
        <is>
          <t>AE, AMZ, DFR</t>
        </is>
      </c>
      <c r="R32" s="12" t="inlineStr">
        <is>
          <t>Safety, Home, Air</t>
        </is>
      </c>
    </row>
    <row r="33" ht="28" customHeight="1">
      <c r="A33" s="25" t="inlineStr">
        <is>
          <t>S029</t>
        </is>
      </c>
      <c r="B33" s="26" t="inlineStr">
        <is>
          <t>MQ-135 air quality</t>
        </is>
      </c>
      <c r="C33" s="12" t="inlineStr">
        <is>
          <t>Gas &amp; VOC</t>
        </is>
      </c>
      <c r="D33" s="12" t="inlineStr">
        <is>
          <t>NH3, NOx, benzene, smoke — broad 'bad air' response</t>
        </is>
      </c>
      <c r="E33" s="31" t="inlineStr"/>
      <c r="F33" s="12" t="inlineStr">
        <is>
          <t>Analog</t>
        </is>
      </c>
      <c r="G33" s="12" t="inlineStr"/>
      <c r="H33" s="12" t="inlineStr"/>
      <c r="I33" s="12" t="inlineStr"/>
      <c r="J33" s="12" t="inlineStr"/>
      <c r="K33" s="12" t="inlineStr">
        <is>
          <t>150mA</t>
        </is>
      </c>
      <c r="L33" s="29" t="n">
        <v>2.5</v>
      </c>
      <c r="M33" s="29" t="inlineStr">
        <is>
          <t>$</t>
        </is>
      </c>
      <c r="N33" s="29" t="n">
        <v>2</v>
      </c>
      <c r="O33" s="12" t="inlineStr"/>
      <c r="P33" s="12" t="inlineStr"/>
      <c r="Q33" s="12" t="inlineStr">
        <is>
          <t>AE, AMZ, DFR</t>
        </is>
      </c>
      <c r="R33" s="12" t="inlineStr">
        <is>
          <t>Grow, Air, Safety</t>
        </is>
      </c>
    </row>
    <row r="34" ht="28" customHeight="1">
      <c r="A34" s="25" t="inlineStr">
        <is>
          <t>S030</t>
        </is>
      </c>
      <c r="B34" s="26" t="inlineStr">
        <is>
          <t>MiCS-5524 CO/VOC</t>
        </is>
      </c>
      <c r="C34" s="12" t="inlineStr">
        <is>
          <t>Gas &amp; VOC</t>
        </is>
      </c>
      <c r="D34" s="12" t="inlineStr">
        <is>
          <t>CO 1-1000ppm, ethanol, H2, ammonia, methane</t>
        </is>
      </c>
      <c r="E34" s="31" t="inlineStr"/>
      <c r="F34" s="12" t="inlineStr">
        <is>
          <t>Analog</t>
        </is>
      </c>
      <c r="G34" s="12" t="inlineStr"/>
      <c r="H34" s="12" t="inlineStr"/>
      <c r="I34" s="12" t="inlineStr"/>
      <c r="J34" s="12" t="inlineStr"/>
      <c r="K34" s="12" t="inlineStr">
        <is>
          <t>32mA (vs 150 for MQ)</t>
        </is>
      </c>
      <c r="L34" s="29" t="n">
        <v>14</v>
      </c>
      <c r="M34" s="29" t="inlineStr">
        <is>
          <t>$$</t>
        </is>
      </c>
      <c r="N34" s="29" t="n">
        <v>2</v>
      </c>
      <c r="O34" s="12" t="inlineStr"/>
      <c r="P34" s="12" t="inlineStr"/>
      <c r="Q34" s="12" t="inlineStr">
        <is>
          <t>AF, DK, MO</t>
        </is>
      </c>
      <c r="R34" s="12" t="inlineStr">
        <is>
          <t>Air, Health, Wild</t>
        </is>
      </c>
    </row>
    <row r="35" ht="28" customHeight="1">
      <c r="A35" s="25" t="inlineStr">
        <is>
          <t>S031</t>
        </is>
      </c>
      <c r="B35" s="26" t="inlineStr">
        <is>
          <t>MiCS-6814 tri-gas</t>
        </is>
      </c>
      <c r="C35" s="12" t="inlineStr">
        <is>
          <t>Gas &amp; VOC</t>
        </is>
      </c>
      <c r="D35" s="12" t="inlineStr">
        <is>
          <t>CO + NO2 + NH3 on three independent channels</t>
        </is>
      </c>
      <c r="E35" s="31" t="inlineStr"/>
      <c r="F35" s="12" t="inlineStr">
        <is>
          <t>Analog</t>
        </is>
      </c>
      <c r="G35" s="12" t="inlineStr"/>
      <c r="H35" s="12" t="inlineStr"/>
      <c r="I35" s="12" t="inlineStr"/>
      <c r="J35" s="12" t="inlineStr"/>
      <c r="K35" s="12" t="inlineStr">
        <is>
          <t>~80mW</t>
        </is>
      </c>
      <c r="L35" s="29" t="n">
        <v>20</v>
      </c>
      <c r="M35" s="29" t="inlineStr">
        <is>
          <t>$$$</t>
        </is>
      </c>
      <c r="N35" s="29" t="n">
        <v>3</v>
      </c>
      <c r="O35" s="12" t="inlineStr"/>
      <c r="P35" s="12" t="inlineStr"/>
      <c r="Q35" s="12" t="inlineStr">
        <is>
          <t>SS, DFR, AE</t>
        </is>
      </c>
      <c r="R35" s="12" t="inlineStr">
        <is>
          <t>Air, Wild, Health</t>
        </is>
      </c>
    </row>
    <row r="36" ht="28" customHeight="1">
      <c r="A36" s="25" t="inlineStr">
        <is>
          <t>S032</t>
        </is>
      </c>
      <c r="B36" s="26" t="inlineStr">
        <is>
          <t>SGP30 eCO2/TVOC (legacy)</t>
        </is>
      </c>
      <c r="C36" s="12" t="inlineStr">
        <is>
          <t>Gas &amp; VOC</t>
        </is>
      </c>
      <c r="D36" s="12" t="inlineStr">
        <is>
          <t>TVOC ppb + eCO2 estimate</t>
        </is>
      </c>
      <c r="E36" s="31" t="inlineStr"/>
      <c r="F36" s="12" t="inlineStr">
        <is>
          <t>I2C</t>
        </is>
      </c>
      <c r="G36" s="12" t="inlineStr"/>
      <c r="H36" s="12" t="inlineStr"/>
      <c r="I36" s="12" t="inlineStr"/>
      <c r="J36" s="12" t="inlineStr"/>
      <c r="K36" s="12" t="inlineStr">
        <is>
          <t>48mA</t>
        </is>
      </c>
      <c r="L36" s="29" t="n">
        <v>10</v>
      </c>
      <c r="M36" s="29" t="inlineStr">
        <is>
          <t>$$</t>
        </is>
      </c>
      <c r="N36" s="29" t="n">
        <v>1</v>
      </c>
      <c r="O36" s="12" t="inlineStr"/>
      <c r="P36" s="12" t="inlineStr"/>
      <c r="Q36" s="12" t="inlineStr">
        <is>
          <t>AF, SF, AE, DK</t>
        </is>
      </c>
      <c r="R36" s="12" t="inlineStr">
        <is>
          <t>Air, Home</t>
        </is>
      </c>
    </row>
    <row r="37" ht="28" customHeight="1">
      <c r="A37" s="25" t="inlineStr">
        <is>
          <t>S033</t>
        </is>
      </c>
      <c r="B37" s="26" t="inlineStr">
        <is>
          <t>Electrochemical gas cells</t>
        </is>
      </c>
      <c r="C37" s="12" t="inlineStr">
        <is>
          <t>Gas &amp; VOC</t>
        </is>
      </c>
      <c r="D37" s="12" t="inlineStr">
        <is>
          <t>ONE specific toxic gas, accurately, in ppb-ppm</t>
        </is>
      </c>
      <c r="E37" s="31" t="inlineStr"/>
      <c r="F37" s="12" t="inlineStr">
        <is>
          <t>UART/Analog</t>
        </is>
      </c>
      <c r="G37" s="12" t="inlineStr"/>
      <c r="H37" s="12" t="inlineStr"/>
      <c r="I37" s="12" t="inlineStr"/>
      <c r="J37" s="12" t="inlineStr"/>
      <c r="K37" s="12" t="inlineStr">
        <is>
          <t>µA cell, mA AFE</t>
        </is>
      </c>
      <c r="L37" s="29" t="n">
        <v>80</v>
      </c>
      <c r="M37" s="29" t="inlineStr">
        <is>
          <t>$$$$</t>
        </is>
      </c>
      <c r="N37" s="29" t="n">
        <v>4</v>
      </c>
      <c r="O37" s="12" t="inlineStr"/>
      <c r="P37" s="12" t="inlineStr"/>
      <c r="Q37" s="12" t="inlineStr">
        <is>
          <t>DK, MO, SS, AE</t>
        </is>
      </c>
      <c r="R37" s="12" t="inlineStr">
        <is>
          <t>Air, Safety, Health</t>
        </is>
      </c>
    </row>
    <row r="38" ht="28" customHeight="1">
      <c r="A38" s="25" t="inlineStr">
        <is>
          <t>S034</t>
        </is>
      </c>
      <c r="B38" s="26" t="inlineStr">
        <is>
          <t>ZE08-CH2O formaldehyde</t>
        </is>
      </c>
      <c r="C38" s="12" t="inlineStr">
        <is>
          <t>Gas &amp; VOC</t>
        </is>
      </c>
      <c r="D38" s="12" t="inlineStr">
        <is>
          <t>Formaldehyde (HCHO) 0-5ppm</t>
        </is>
      </c>
      <c r="E38" s="31" t="inlineStr"/>
      <c r="F38" s="12" t="inlineStr">
        <is>
          <t>UART/Analog</t>
        </is>
      </c>
      <c r="G38" s="12" t="inlineStr"/>
      <c r="H38" s="12" t="inlineStr"/>
      <c r="I38" s="12" t="inlineStr"/>
      <c r="J38" s="12" t="inlineStr"/>
      <c r="K38" s="12" t="inlineStr">
        <is>
          <t>&lt;30mA</t>
        </is>
      </c>
      <c r="L38" s="29" t="n">
        <v>22</v>
      </c>
      <c r="M38" s="29" t="inlineStr">
        <is>
          <t>$$$</t>
        </is>
      </c>
      <c r="N38" s="29" t="n">
        <v>2</v>
      </c>
      <c r="O38" s="12" t="inlineStr"/>
      <c r="P38" s="12" t="inlineStr"/>
      <c r="Q38" s="12" t="inlineStr">
        <is>
          <t>AE, DFR</t>
        </is>
      </c>
      <c r="R38" s="12" t="inlineStr">
        <is>
          <t>Air, Health, Home</t>
        </is>
      </c>
    </row>
    <row r="39" ht="28" customHeight="1">
      <c r="A39" s="25" t="inlineStr">
        <is>
          <t>S035</t>
        </is>
      </c>
      <c r="B39" s="26" t="inlineStr">
        <is>
          <t>NDIR methane / hydrocarbon module</t>
        </is>
      </c>
      <c r="C39" s="12" t="inlineStr">
        <is>
          <t>Gas &amp; VOC</t>
        </is>
      </c>
      <c r="D39" s="12" t="inlineStr">
        <is>
          <t>Methane / combustible gas optically</t>
        </is>
      </c>
      <c r="E39" s="31" t="inlineStr"/>
      <c r="F39" s="12" t="inlineStr">
        <is>
          <t>UART/Analog</t>
        </is>
      </c>
      <c r="G39" s="12" t="inlineStr"/>
      <c r="H39" s="12" t="inlineStr"/>
      <c r="I39" s="12" t="inlineStr"/>
      <c r="J39" s="12" t="inlineStr"/>
      <c r="K39" s="12" t="inlineStr">
        <is>
          <t>~60mA</t>
        </is>
      </c>
      <c r="L39" s="29" t="n">
        <v>45</v>
      </c>
      <c r="M39" s="29" t="inlineStr">
        <is>
          <t>$$$</t>
        </is>
      </c>
      <c r="N39" s="29" t="n">
        <v>3</v>
      </c>
      <c r="O39" s="12" t="inlineStr"/>
      <c r="P39" s="12" t="inlineStr"/>
      <c r="Q39" s="12" t="inlineStr">
        <is>
          <t>AE, DK</t>
        </is>
      </c>
      <c r="R39" s="12" t="inlineStr">
        <is>
          <t>Grow, Energy, Safety</t>
        </is>
      </c>
    </row>
    <row r="40" ht="28" customHeight="1">
      <c r="A40" s="25" t="inlineStr">
        <is>
          <t>S036</t>
        </is>
      </c>
      <c r="B40" s="26" t="inlineStr">
        <is>
          <t>SCD41 true CO2</t>
        </is>
      </c>
      <c r="C40" s="12" t="inlineStr">
        <is>
          <t>CO2</t>
        </is>
      </c>
      <c r="D40" s="12" t="inlineStr">
        <is>
          <t>Real CO2 400-5000ppm + RH + temp</t>
        </is>
      </c>
      <c r="E40" s="33" t="inlineStr">
        <is>
          <t>Chemical</t>
        </is>
      </c>
      <c r="F40" s="12" t="inlineStr">
        <is>
          <t>I2C</t>
        </is>
      </c>
      <c r="G40" s="12" t="inlineStr">
        <is>
          <t>400-5000 ppm</t>
        </is>
      </c>
      <c r="H40" s="12" t="inlineStr">
        <is>
          <t>±(40 ppm + 5%)</t>
        </is>
      </c>
      <c r="I40" s="12" t="inlineStr">
        <is>
          <t>Standoff</t>
        </is>
      </c>
      <c r="J40" s="32" t="inlineStr">
        <is>
          <t>◔ aggregate</t>
        </is>
      </c>
      <c r="K40" s="12" t="inlineStr">
        <is>
          <t>0.5mA @ 1 meas/5min single-shot (~205mA peak during a measurement)</t>
        </is>
      </c>
      <c r="L40" s="29" t="n">
        <v>25</v>
      </c>
      <c r="M40" s="29" t="inlineStr">
        <is>
          <t>$$$</t>
        </is>
      </c>
      <c r="N40" s="29" t="n">
        <v>1</v>
      </c>
      <c r="O40" s="12" t="inlineStr"/>
      <c r="P40" s="12" t="inlineStr">
        <is>
          <t>Active</t>
        </is>
      </c>
      <c r="Q40" s="12" t="inlineStr">
        <is>
          <t>AF, SF, DK, MO, PI</t>
        </is>
      </c>
      <c r="R40" s="12" t="inlineStr">
        <is>
          <t>Air, Health, Home</t>
        </is>
      </c>
    </row>
    <row r="41" ht="28" customHeight="1">
      <c r="A41" s="25" t="inlineStr">
        <is>
          <t>S037</t>
        </is>
      </c>
      <c r="B41" s="26" t="inlineStr">
        <is>
          <t>SCD30 NDIR CO2</t>
        </is>
      </c>
      <c r="C41" s="12" t="inlineStr">
        <is>
          <t>CO2</t>
        </is>
      </c>
      <c r="D41" s="12" t="inlineStr">
        <is>
          <t>Real CO2 400-10000ppm + RH + temp</t>
        </is>
      </c>
      <c r="E41" s="31" t="inlineStr"/>
      <c r="F41" s="12" t="inlineStr">
        <is>
          <t>I2C/RS-485/PWM</t>
        </is>
      </c>
      <c r="G41" s="12" t="inlineStr"/>
      <c r="H41" s="12" t="inlineStr"/>
      <c r="I41" s="12" t="inlineStr"/>
      <c r="J41" s="12" t="inlineStr"/>
      <c r="K41" s="12" t="inlineStr">
        <is>
          <t>19mA avg</t>
        </is>
      </c>
      <c r="L41" s="29" t="n">
        <v>40</v>
      </c>
      <c r="M41" s="29" t="inlineStr">
        <is>
          <t>$$$</t>
        </is>
      </c>
      <c r="N41" s="29" t="n">
        <v>1</v>
      </c>
      <c r="O41" s="12" t="inlineStr"/>
      <c r="P41" s="12" t="inlineStr"/>
      <c r="Q41" s="12" t="inlineStr">
        <is>
          <t>AF, SF, DK, MO, SS</t>
        </is>
      </c>
      <c r="R41" s="12" t="inlineStr">
        <is>
          <t>Grow, Air, Home</t>
        </is>
      </c>
    </row>
    <row r="42" ht="28" customHeight="1">
      <c r="A42" s="25" t="inlineStr">
        <is>
          <t>S038</t>
        </is>
      </c>
      <c r="B42" s="26" t="inlineStr">
        <is>
          <t>MH-Z19C budget NDIR CO2</t>
        </is>
      </c>
      <c r="C42" s="12" t="inlineStr">
        <is>
          <t>CO2</t>
        </is>
      </c>
      <c r="D42" s="12" t="inlineStr">
        <is>
          <t>Real CO2 400-5000ppm</t>
        </is>
      </c>
      <c r="E42" s="31" t="inlineStr"/>
      <c r="F42" s="12" t="inlineStr">
        <is>
          <t>UART/PWM</t>
        </is>
      </c>
      <c r="G42" s="12" t="inlineStr"/>
      <c r="H42" s="12" t="inlineStr"/>
      <c r="I42" s="12" t="inlineStr"/>
      <c r="J42" s="12" t="inlineStr"/>
      <c r="K42" s="12" t="inlineStr">
        <is>
          <t>&lt;60mA peak</t>
        </is>
      </c>
      <c r="L42" s="29" t="n">
        <v>18</v>
      </c>
      <c r="M42" s="29" t="inlineStr">
        <is>
          <t>$$$</t>
        </is>
      </c>
      <c r="N42" s="29" t="n">
        <v>2</v>
      </c>
      <c r="O42" s="12" t="inlineStr"/>
      <c r="P42" s="12" t="inlineStr"/>
      <c r="Q42" s="12" t="inlineStr">
        <is>
          <t>AE, AMZ</t>
        </is>
      </c>
      <c r="R42" s="12" t="inlineStr">
        <is>
          <t>Air, Health, Home</t>
        </is>
      </c>
    </row>
    <row r="43" ht="28" customHeight="1">
      <c r="A43" s="25" t="inlineStr">
        <is>
          <t>S039</t>
        </is>
      </c>
      <c r="B43" s="26" t="inlineStr">
        <is>
          <t>SenseAir S8 CO2</t>
        </is>
      </c>
      <c r="C43" s="12" t="inlineStr">
        <is>
          <t>CO2</t>
        </is>
      </c>
      <c r="D43" s="12" t="inlineStr">
        <is>
          <t>Real CO2 400-2000ppm (residential)</t>
        </is>
      </c>
      <c r="E43" s="31" t="inlineStr"/>
      <c r="F43" s="12" t="inlineStr">
        <is>
          <t>RS-485/UART</t>
        </is>
      </c>
      <c r="G43" s="12" t="inlineStr"/>
      <c r="H43" s="12" t="inlineStr"/>
      <c r="I43" s="12" t="inlineStr"/>
      <c r="J43" s="12" t="inlineStr"/>
      <c r="K43" s="12" t="inlineStr">
        <is>
          <t>18mA avg</t>
        </is>
      </c>
      <c r="L43" s="29" t="n">
        <v>25</v>
      </c>
      <c r="M43" s="29" t="inlineStr">
        <is>
          <t>$$$</t>
        </is>
      </c>
      <c r="N43" s="29" t="n">
        <v>2</v>
      </c>
      <c r="O43" s="12" t="inlineStr"/>
      <c r="P43" s="12" t="inlineStr"/>
      <c r="Q43" s="12" t="inlineStr">
        <is>
          <t>AE, DK</t>
        </is>
      </c>
      <c r="R43" s="12" t="inlineStr">
        <is>
          <t>Air, Home, Health</t>
        </is>
      </c>
    </row>
    <row r="44" ht="28" customHeight="1">
      <c r="A44" s="25" t="inlineStr">
        <is>
          <t>S040</t>
        </is>
      </c>
      <c r="B44" s="26" t="inlineStr">
        <is>
          <t>PMS5003 particulate</t>
        </is>
      </c>
      <c r="C44" s="12" t="inlineStr">
        <is>
          <t>Particulate</t>
        </is>
      </c>
      <c r="D44" s="12" t="inlineStr">
        <is>
          <t>PM1.0 / PM2.5 / PM10 µg/m³ + particle counts</t>
        </is>
      </c>
      <c r="E44" s="35" t="inlineStr">
        <is>
          <t>Optical</t>
        </is>
      </c>
      <c r="F44" s="12" t="inlineStr">
        <is>
          <t>I2C/UART</t>
        </is>
      </c>
      <c r="G44" s="12" t="inlineStr">
        <is>
          <t>0-500 µg/m³, six size bins</t>
        </is>
      </c>
      <c r="H44" s="12" t="inlineStr">
        <is>
          <t>±10% above 100 µg/m³; poor below ~10</t>
        </is>
      </c>
      <c r="I44" s="12" t="inlineStr">
        <is>
          <t>Standoff</t>
        </is>
      </c>
      <c r="J44" s="28" t="inlineStr">
        <is>
          <t>—</t>
        </is>
      </c>
      <c r="K44" s="12" t="inlineStr">
        <is>
          <t>100mA fan on</t>
        </is>
      </c>
      <c r="L44" s="29" t="n">
        <v>15</v>
      </c>
      <c r="M44" s="29" t="inlineStr">
        <is>
          <t>$$$</t>
        </is>
      </c>
      <c r="N44" s="29" t="n">
        <v>2</v>
      </c>
      <c r="O44" s="30" t="inlineStr">
        <is>
          <t>☀LASER</t>
        </is>
      </c>
      <c r="P44" s="12" t="inlineStr">
        <is>
          <t>Active</t>
        </is>
      </c>
      <c r="Q44" s="12" t="inlineStr">
        <is>
          <t>AF, AE, DK, SS</t>
        </is>
      </c>
      <c r="R44" s="12" t="inlineStr">
        <is>
          <t>Air, Health, Safety</t>
        </is>
      </c>
    </row>
    <row r="45" ht="28" customHeight="1">
      <c r="A45" s="25" t="inlineStr">
        <is>
          <t>S041</t>
        </is>
      </c>
      <c r="B45" s="26" t="inlineStr">
        <is>
          <t>SPS30 premium PM</t>
        </is>
      </c>
      <c r="C45" s="12" t="inlineStr">
        <is>
          <t>Particulate</t>
        </is>
      </c>
      <c r="D45" s="12" t="inlineStr">
        <is>
          <t>PM1.0/2.5/4/10 with calibrated accuracy</t>
        </is>
      </c>
      <c r="E45" s="31" t="inlineStr"/>
      <c r="F45" s="12" t="inlineStr">
        <is>
          <t>I2C/UART</t>
        </is>
      </c>
      <c r="G45" s="12" t="inlineStr"/>
      <c r="H45" s="12" t="inlineStr"/>
      <c r="I45" s="12" t="inlineStr"/>
      <c r="J45" s="12" t="inlineStr"/>
      <c r="K45" s="12" t="inlineStr">
        <is>
          <t>60mA meas</t>
        </is>
      </c>
      <c r="L45" s="29" t="n">
        <v>45</v>
      </c>
      <c r="M45" s="29" t="inlineStr">
        <is>
          <t>$$$</t>
        </is>
      </c>
      <c r="N45" s="29" t="n">
        <v>2</v>
      </c>
      <c r="O45" s="12" t="inlineStr"/>
      <c r="P45" s="12" t="inlineStr"/>
      <c r="Q45" s="12" t="inlineStr">
        <is>
          <t>DK, MO, SS</t>
        </is>
      </c>
      <c r="R45" s="12" t="inlineStr">
        <is>
          <t>Air, Wild, Health</t>
        </is>
      </c>
    </row>
    <row r="46" ht="28" customHeight="1">
      <c r="A46" s="25" t="inlineStr">
        <is>
          <t>S042</t>
        </is>
      </c>
      <c r="B46" s="26" t="inlineStr">
        <is>
          <t>SDS011 particulate</t>
        </is>
      </c>
      <c r="C46" s="12" t="inlineStr">
        <is>
          <t>Particulate</t>
        </is>
      </c>
      <c r="D46" s="12" t="inlineStr">
        <is>
          <t>PM2.5 / PM10</t>
        </is>
      </c>
      <c r="E46" s="31" t="inlineStr"/>
      <c r="F46" s="12" t="inlineStr">
        <is>
          <t>UART</t>
        </is>
      </c>
      <c r="G46" s="12" t="inlineStr"/>
      <c r="H46" s="12" t="inlineStr"/>
      <c r="I46" s="12" t="inlineStr"/>
      <c r="J46" s="12" t="inlineStr"/>
      <c r="K46" s="12" t="inlineStr">
        <is>
          <t>70-220mA</t>
        </is>
      </c>
      <c r="L46" s="29" t="n">
        <v>20</v>
      </c>
      <c r="M46" s="29" t="inlineStr">
        <is>
          <t>$$$</t>
        </is>
      </c>
      <c r="N46" s="29" t="n">
        <v>2</v>
      </c>
      <c r="O46" s="12" t="inlineStr"/>
      <c r="P46" s="12" t="inlineStr"/>
      <c r="Q46" s="12" t="inlineStr">
        <is>
          <t>AE, AMZ</t>
        </is>
      </c>
      <c r="R46" s="12" t="inlineStr">
        <is>
          <t>Air, Wild, Play</t>
        </is>
      </c>
    </row>
    <row r="47" ht="28" customHeight="1">
      <c r="A47" s="25" t="inlineStr">
        <is>
          <t>S043</t>
        </is>
      </c>
      <c r="B47" s="26" t="inlineStr">
        <is>
          <t>Ikea VINDRIKTNING hack</t>
        </is>
      </c>
      <c r="C47" s="12" t="inlineStr">
        <is>
          <t>Particulate</t>
        </is>
      </c>
      <c r="D47" s="12" t="inlineStr">
        <is>
          <t>PM2.5 (coarse 3-LED indication, hackable to data)</t>
        </is>
      </c>
      <c r="E47" s="31" t="inlineStr"/>
      <c r="F47" s="12" t="inlineStr">
        <is>
          <t>UART</t>
        </is>
      </c>
      <c r="G47" s="12" t="inlineStr"/>
      <c r="H47" s="12" t="inlineStr"/>
      <c r="I47" s="12" t="inlineStr"/>
      <c r="J47" s="12" t="inlineStr"/>
      <c r="K47" s="12" t="inlineStr">
        <is>
          <t>powered by its own USB</t>
        </is>
      </c>
      <c r="L47" s="29" t="n">
        <v>13</v>
      </c>
      <c r="M47" s="29" t="inlineStr">
        <is>
          <t>$$</t>
        </is>
      </c>
      <c r="N47" s="29" t="n">
        <v>2</v>
      </c>
      <c r="O47" s="12" t="inlineStr"/>
      <c r="P47" s="12" t="inlineStr"/>
      <c r="Q47" s="12" t="inlineStr">
        <is>
          <t>IK</t>
        </is>
      </c>
      <c r="R47" s="12" t="inlineStr">
        <is>
          <t>Home, Play, Air</t>
        </is>
      </c>
    </row>
    <row r="48" ht="28" customHeight="1">
      <c r="A48" s="25" t="inlineStr">
        <is>
          <t>S044</t>
        </is>
      </c>
      <c r="B48" s="26" t="inlineStr">
        <is>
          <t>BH1750 lux sensor</t>
        </is>
      </c>
      <c r="C48" s="12" t="inlineStr">
        <is>
          <t>Light &amp; UV</t>
        </is>
      </c>
      <c r="D48" s="12" t="inlineStr">
        <is>
          <t>Illuminance 1-65535 lux, human-eye weighted</t>
        </is>
      </c>
      <c r="E48" s="35" t="inlineStr">
        <is>
          <t>Optical</t>
        </is>
      </c>
      <c r="F48" s="12" t="inlineStr">
        <is>
          <t>I2C</t>
        </is>
      </c>
      <c r="G48" s="12" t="inlineStr">
        <is>
          <t>1-65535 lux</t>
        </is>
      </c>
      <c r="H48" s="12" t="inlineStr">
        <is>
          <t>±20%</t>
        </is>
      </c>
      <c r="I48" s="12" t="inlineStr">
        <is>
          <t>Standoff</t>
        </is>
      </c>
      <c r="J48" s="28" t="inlineStr">
        <is>
          <t>—</t>
        </is>
      </c>
      <c r="K48" s="12" t="inlineStr">
        <is>
          <t>120µA</t>
        </is>
      </c>
      <c r="L48" s="29" t="n">
        <v>2.5</v>
      </c>
      <c r="M48" s="29" t="inlineStr">
        <is>
          <t>$</t>
        </is>
      </c>
      <c r="N48" s="29" t="n">
        <v>1</v>
      </c>
      <c r="O48" s="12" t="inlineStr"/>
      <c r="P48" s="12" t="inlineStr">
        <is>
          <t>Active</t>
        </is>
      </c>
      <c r="Q48" s="12" t="inlineStr">
        <is>
          <t>AE, AMZ, DFR, CE</t>
        </is>
      </c>
      <c r="R48" s="12" t="inlineStr">
        <is>
          <t>Home, Grow</t>
        </is>
      </c>
    </row>
    <row r="49" ht="28" customHeight="1">
      <c r="A49" s="25" t="inlineStr">
        <is>
          <t>S045</t>
        </is>
      </c>
      <c r="B49" s="26" t="inlineStr">
        <is>
          <t>VEML7700 high-accuracy lux</t>
        </is>
      </c>
      <c r="C49" s="12" t="inlineStr">
        <is>
          <t>Light &amp; UV</t>
        </is>
      </c>
      <c r="D49" s="12" t="inlineStr">
        <is>
          <t>0.0042 to 120k lux (moonlight to direct sun)</t>
        </is>
      </c>
      <c r="E49" s="31" t="inlineStr"/>
      <c r="F49" s="12" t="inlineStr">
        <is>
          <t>I2C</t>
        </is>
      </c>
      <c r="G49" s="12" t="inlineStr"/>
      <c r="H49" s="12" t="inlineStr"/>
      <c r="I49" s="12" t="inlineStr"/>
      <c r="J49" s="12" t="inlineStr"/>
      <c r="K49" s="12" t="inlineStr">
        <is>
          <t>45µA</t>
        </is>
      </c>
      <c r="L49" s="29" t="n">
        <v>5</v>
      </c>
      <c r="M49" s="29" t="inlineStr">
        <is>
          <t>$$</t>
        </is>
      </c>
      <c r="N49" s="29" t="n">
        <v>1</v>
      </c>
      <c r="O49" s="12" t="inlineStr"/>
      <c r="P49" s="12" t="inlineStr"/>
      <c r="Q49" s="12" t="inlineStr">
        <is>
          <t>AF, SF, DK, MO</t>
        </is>
      </c>
      <c r="R49" s="12" t="inlineStr">
        <is>
          <t>Health, Home</t>
        </is>
      </c>
    </row>
    <row r="50" ht="28" customHeight="1">
      <c r="A50" s="25" t="inlineStr">
        <is>
          <t>S046</t>
        </is>
      </c>
      <c r="B50" s="26" t="inlineStr">
        <is>
          <t>LTR-390 UV + ambient</t>
        </is>
      </c>
      <c r="C50" s="12" t="inlineStr">
        <is>
          <t>Light &amp; UV</t>
        </is>
      </c>
      <c r="D50" s="12" t="inlineStr">
        <is>
          <t>UV-A intensity + UV index + ambient light</t>
        </is>
      </c>
      <c r="E50" s="31" t="inlineStr"/>
      <c r="F50" s="12" t="inlineStr">
        <is>
          <t>I2C</t>
        </is>
      </c>
      <c r="G50" s="12" t="inlineStr"/>
      <c r="H50" s="12" t="inlineStr"/>
      <c r="I50" s="12" t="inlineStr"/>
      <c r="J50" s="12" t="inlineStr"/>
      <c r="K50" s="12" t="inlineStr">
        <is>
          <t>100µA</t>
        </is>
      </c>
      <c r="L50" s="29" t="n">
        <v>5</v>
      </c>
      <c r="M50" s="29" t="inlineStr">
        <is>
          <t>$$</t>
        </is>
      </c>
      <c r="N50" s="29" t="n">
        <v>1</v>
      </c>
      <c r="O50" s="12" t="inlineStr"/>
      <c r="P50" s="12" t="inlineStr"/>
      <c r="Q50" s="12" t="inlineStr">
        <is>
          <t>AF, DK, MO</t>
        </is>
      </c>
      <c r="R50" s="12" t="inlineStr">
        <is>
          <t>Health, Wild</t>
        </is>
      </c>
    </row>
    <row r="51" ht="28" customHeight="1">
      <c r="A51" s="25" t="inlineStr">
        <is>
          <t>S047</t>
        </is>
      </c>
      <c r="B51" s="26" t="inlineStr">
        <is>
          <t>GUVA-S12SD UV analog</t>
        </is>
      </c>
      <c r="C51" s="12" t="inlineStr">
        <is>
          <t>Light &amp; UV</t>
        </is>
      </c>
      <c r="D51" s="12" t="inlineStr">
        <is>
          <t>UV-A/B 240-370nm as analog voltage</t>
        </is>
      </c>
      <c r="E51" s="31" t="inlineStr"/>
      <c r="F51" s="12" t="inlineStr">
        <is>
          <t>Analog</t>
        </is>
      </c>
      <c r="G51" s="12" t="inlineStr"/>
      <c r="H51" s="12" t="inlineStr"/>
      <c r="I51" s="12" t="inlineStr"/>
      <c r="J51" s="12" t="inlineStr"/>
      <c r="K51" s="12" t="inlineStr">
        <is>
          <t>&lt;1mA</t>
        </is>
      </c>
      <c r="L51" s="29" t="n">
        <v>4</v>
      </c>
      <c r="M51" s="29" t="inlineStr">
        <is>
          <t>$</t>
        </is>
      </c>
      <c r="N51" s="29" t="n">
        <v>1</v>
      </c>
      <c r="O51" s="12" t="inlineStr"/>
      <c r="P51" s="12" t="inlineStr"/>
      <c r="Q51" s="12" t="inlineStr">
        <is>
          <t>AE, AMZ, DFR</t>
        </is>
      </c>
      <c r="R51" s="12" t="inlineStr">
        <is>
          <t>Play, MachineHealth</t>
        </is>
      </c>
    </row>
    <row r="52" ht="28" customHeight="1">
      <c r="A52" s="25" t="inlineStr">
        <is>
          <t>S048</t>
        </is>
      </c>
      <c r="B52" s="26" t="inlineStr">
        <is>
          <t>TSL2591 high dynamic lux</t>
        </is>
      </c>
      <c r="C52" s="12" t="inlineStr">
        <is>
          <t>Light &amp; UV</t>
        </is>
      </c>
      <c r="D52" s="12" t="inlineStr">
        <is>
          <t>188 µlux to 88k lux — extreme sensitivity</t>
        </is>
      </c>
      <c r="E52" s="31" t="inlineStr"/>
      <c r="F52" s="12" t="inlineStr">
        <is>
          <t>I2C</t>
        </is>
      </c>
      <c r="G52" s="12" t="inlineStr"/>
      <c r="H52" s="12" t="inlineStr"/>
      <c r="I52" s="12" t="inlineStr"/>
      <c r="J52" s="12" t="inlineStr"/>
      <c r="K52" s="12" t="inlineStr">
        <is>
          <t>0.4mA</t>
        </is>
      </c>
      <c r="L52" s="29" t="n">
        <v>7</v>
      </c>
      <c r="M52" s="29" t="inlineStr">
        <is>
          <t>$$</t>
        </is>
      </c>
      <c r="N52" s="29" t="n">
        <v>1</v>
      </c>
      <c r="O52" s="12" t="inlineStr"/>
      <c r="P52" s="12" t="inlineStr"/>
      <c r="Q52" s="12" t="inlineStr">
        <is>
          <t>AF, DK, MO, CE</t>
        </is>
      </c>
      <c r="R52" s="12" t="inlineStr">
        <is>
          <t>Wild, Play</t>
        </is>
      </c>
    </row>
    <row r="53" ht="28" customHeight="1">
      <c r="A53" s="25" t="inlineStr">
        <is>
          <t>S049</t>
        </is>
      </c>
      <c r="B53" s="26" t="inlineStr">
        <is>
          <t>Photoresistor (LDR)</t>
        </is>
      </c>
      <c r="C53" s="12" t="inlineStr">
        <is>
          <t>Light &amp; UV</t>
        </is>
      </c>
      <c r="D53" s="12" t="inlineStr">
        <is>
          <t>Light level (relative)</t>
        </is>
      </c>
      <c r="E53" s="35" t="inlineStr">
        <is>
          <t>Optical</t>
        </is>
      </c>
      <c r="F53" s="12" t="inlineStr">
        <is>
          <t>Analog</t>
        </is>
      </c>
      <c r="G53" s="12" t="inlineStr">
        <is>
          <t>Relative only</t>
        </is>
      </c>
      <c r="H53" s="12" t="inlineStr">
        <is>
          <t>Uncalibrated</t>
        </is>
      </c>
      <c r="I53" s="12" t="inlineStr">
        <is>
          <t>Standoff</t>
        </is>
      </c>
      <c r="J53" s="28" t="inlineStr">
        <is>
          <t>—</t>
        </is>
      </c>
      <c r="K53" s="12" t="inlineStr">
        <is>
          <t>divider current</t>
        </is>
      </c>
      <c r="L53" s="29" t="n">
        <v>0.2</v>
      </c>
      <c r="M53" s="29" t="inlineStr">
        <is>
          <t>$</t>
        </is>
      </c>
      <c r="N53" s="29" t="n">
        <v>1</v>
      </c>
      <c r="O53" s="12" t="inlineStr"/>
      <c r="P53" s="12" t="inlineStr">
        <is>
          <t>Mature</t>
        </is>
      </c>
      <c r="Q53" s="12" t="inlineStr">
        <is>
          <t>AE, AMZ, SF, CE</t>
        </is>
      </c>
      <c r="R53" s="12" t="inlineStr">
        <is>
          <t>Play, Safety</t>
        </is>
      </c>
    </row>
    <row r="54" ht="28" customHeight="1">
      <c r="A54" s="25" t="inlineStr">
        <is>
          <t>S050</t>
        </is>
      </c>
      <c r="B54" s="26" t="inlineStr">
        <is>
          <t>AS7331 spectral UV</t>
        </is>
      </c>
      <c r="C54" s="12" t="inlineStr">
        <is>
          <t>Light &amp; UV</t>
        </is>
      </c>
      <c r="D54" s="12" t="inlineStr">
        <is>
          <t>UV-A, UV-B and UV-C as separate calibrated channels</t>
        </is>
      </c>
      <c r="E54" s="31" t="inlineStr"/>
      <c r="F54" s="12" t="inlineStr">
        <is>
          <t>I2C</t>
        </is>
      </c>
      <c r="G54" s="12" t="inlineStr"/>
      <c r="H54" s="12" t="inlineStr"/>
      <c r="I54" s="12" t="inlineStr"/>
      <c r="J54" s="12" t="inlineStr"/>
      <c r="K54" s="12" t="inlineStr">
        <is>
          <t>&lt;1mA</t>
        </is>
      </c>
      <c r="L54" s="29" t="n">
        <v>27.5</v>
      </c>
      <c r="M54" s="29" t="inlineStr">
        <is>
          <t>$$$</t>
        </is>
      </c>
      <c r="N54" s="29" t="n">
        <v>2</v>
      </c>
      <c r="O54" s="12" t="inlineStr"/>
      <c r="P54" s="12" t="inlineStr"/>
      <c r="Q54" s="12" t="inlineStr">
        <is>
          <t>SF, DK, MO</t>
        </is>
      </c>
      <c r="R54" s="12" t="inlineStr">
        <is>
          <t>Health, Safety</t>
        </is>
      </c>
    </row>
    <row r="55" ht="28" customHeight="1">
      <c r="A55" s="25" t="inlineStr">
        <is>
          <t>S051</t>
        </is>
      </c>
      <c r="B55" s="26" t="inlineStr">
        <is>
          <t>TCS34725 RGB color</t>
        </is>
      </c>
      <c r="C55" s="12" t="inlineStr">
        <is>
          <t>Colour &amp; Spectral</t>
        </is>
      </c>
      <c r="D55" s="12" t="inlineStr">
        <is>
          <t>Red/Green/Blue/Clear light + color temperature</t>
        </is>
      </c>
      <c r="E55" s="31" t="inlineStr"/>
      <c r="F55" s="12" t="inlineStr">
        <is>
          <t>I2C</t>
        </is>
      </c>
      <c r="G55" s="12" t="inlineStr"/>
      <c r="H55" s="12" t="inlineStr"/>
      <c r="I55" s="12" t="inlineStr"/>
      <c r="J55" s="12" t="inlineStr"/>
      <c r="K55" s="12" t="inlineStr">
        <is>
          <t>235µA</t>
        </is>
      </c>
      <c r="L55" s="29" t="n">
        <v>7</v>
      </c>
      <c r="M55" s="29" t="inlineStr">
        <is>
          <t>$$</t>
        </is>
      </c>
      <c r="N55" s="29" t="n">
        <v>1</v>
      </c>
      <c r="O55" s="12" t="inlineStr"/>
      <c r="P55" s="12" t="inlineStr"/>
      <c r="Q55" s="12" t="inlineStr">
        <is>
          <t>AF, DK, AE, CE</t>
        </is>
      </c>
      <c r="R55" s="12" t="inlineStr">
        <is>
          <t>Water, Play</t>
        </is>
      </c>
    </row>
    <row r="56" ht="28" customHeight="1">
      <c r="A56" s="25" t="inlineStr">
        <is>
          <t>S052</t>
        </is>
      </c>
      <c r="B56" s="26" t="inlineStr">
        <is>
          <t>AS7341 11-channel spectral</t>
        </is>
      </c>
      <c r="C56" s="12" t="inlineStr">
        <is>
          <t>Colour &amp; Spectral</t>
        </is>
      </c>
      <c r="D56" s="12" t="inlineStr">
        <is>
          <t>Light intensity in 11 wavelength bands 350-1000nm</t>
        </is>
      </c>
      <c r="E56" s="31" t="inlineStr"/>
      <c r="F56" s="12" t="inlineStr">
        <is>
          <t>I2C</t>
        </is>
      </c>
      <c r="G56" s="12" t="inlineStr"/>
      <c r="H56" s="12" t="inlineStr"/>
      <c r="I56" s="12" t="inlineStr"/>
      <c r="J56" s="12" t="inlineStr"/>
      <c r="K56" s="12" t="inlineStr">
        <is>
          <t>200µA-25mA</t>
        </is>
      </c>
      <c r="L56" s="29" t="n">
        <v>14</v>
      </c>
      <c r="M56" s="29" t="inlineStr">
        <is>
          <t>$$</t>
        </is>
      </c>
      <c r="N56" s="29" t="n">
        <v>2</v>
      </c>
      <c r="O56" s="12" t="inlineStr"/>
      <c r="P56" s="12" t="inlineStr"/>
      <c r="Q56" s="12" t="inlineStr">
        <is>
          <t>AF, SF, DK, MO</t>
        </is>
      </c>
      <c r="R56" s="12" t="inlineStr">
        <is>
          <t>Grow, Play</t>
        </is>
      </c>
    </row>
    <row r="57" ht="28" customHeight="1">
      <c r="A57" s="25" t="inlineStr">
        <is>
          <t>S053</t>
        </is>
      </c>
      <c r="B57" s="26" t="inlineStr">
        <is>
          <t>AS7263 NIR spectral</t>
        </is>
      </c>
      <c r="C57" s="12" t="inlineStr">
        <is>
          <t>Colour &amp; Spectral</t>
        </is>
      </c>
      <c r="D57" s="12" t="inlineStr">
        <is>
          <t>6 near-infrared bands 610-860nm (AS7262: 6 visible)</t>
        </is>
      </c>
      <c r="E57" s="31" t="inlineStr"/>
      <c r="F57" s="12" t="inlineStr">
        <is>
          <t>I2C/UART</t>
        </is>
      </c>
      <c r="G57" s="12" t="inlineStr"/>
      <c r="H57" s="12" t="inlineStr"/>
      <c r="I57" s="12" t="inlineStr"/>
      <c r="J57" s="12" t="inlineStr"/>
      <c r="K57" s="12" t="inlineStr">
        <is>
          <t>5mA</t>
        </is>
      </c>
      <c r="L57" s="29" t="n">
        <v>27</v>
      </c>
      <c r="M57" s="29" t="inlineStr">
        <is>
          <t>$$$</t>
        </is>
      </c>
      <c r="N57" s="29" t="n">
        <v>2</v>
      </c>
      <c r="O57" s="12" t="inlineStr"/>
      <c r="P57" s="12" t="inlineStr"/>
      <c r="Q57" s="12" t="inlineStr">
        <is>
          <t>SF, DK, MO</t>
        </is>
      </c>
      <c r="R57" s="12" t="inlineStr">
        <is>
          <t>Grow, Wild, Health</t>
        </is>
      </c>
    </row>
    <row r="58" ht="28" customHeight="1">
      <c r="A58" s="25" t="inlineStr">
        <is>
          <t>S054</t>
        </is>
      </c>
      <c r="B58" s="26" t="inlineStr">
        <is>
          <t>APDS-9960 gesture/color/prox</t>
        </is>
      </c>
      <c r="C58" s="12" t="inlineStr">
        <is>
          <t>Colour &amp; Spectral</t>
        </is>
      </c>
      <c r="D58" s="12" t="inlineStr">
        <is>
          <t>Hand gestures (up/down/left/right), RGB color, proximity to 20cm</t>
        </is>
      </c>
      <c r="E58" s="31" t="inlineStr"/>
      <c r="F58" s="12" t="inlineStr">
        <is>
          <t>I2C</t>
        </is>
      </c>
      <c r="G58" s="12" t="inlineStr"/>
      <c r="H58" s="12" t="inlineStr"/>
      <c r="I58" s="12" t="inlineStr"/>
      <c r="J58" s="12" t="inlineStr"/>
      <c r="K58" s="12" t="inlineStr">
        <is>
          <t>200µA-790µA</t>
        </is>
      </c>
      <c r="L58" s="29" t="n">
        <v>6</v>
      </c>
      <c r="M58" s="29" t="inlineStr">
        <is>
          <t>$$</t>
        </is>
      </c>
      <c r="N58" s="29" t="n">
        <v>2</v>
      </c>
      <c r="O58" s="12" t="inlineStr"/>
      <c r="P58" s="12" t="inlineStr"/>
      <c r="Q58" s="12" t="inlineStr">
        <is>
          <t>AF, SF, AE, DK</t>
        </is>
      </c>
      <c r="R58" s="12" t="inlineStr">
        <is>
          <t>Home, Play</t>
        </is>
      </c>
    </row>
    <row r="59" ht="28" customHeight="1">
      <c r="A59" s="25" t="inlineStr">
        <is>
          <t>S055</t>
        </is>
      </c>
      <c r="B59" s="26" t="inlineStr">
        <is>
          <t>OPT4048 tristimulus color</t>
        </is>
      </c>
      <c r="C59" s="12" t="inlineStr">
        <is>
          <t>Colour &amp; Spectral</t>
        </is>
      </c>
      <c r="D59" s="12" t="inlineStr">
        <is>
          <t>CIE XYZ color — colorimeter-grade chromaticity</t>
        </is>
      </c>
      <c r="E59" s="31" t="inlineStr"/>
      <c r="F59" s="12" t="inlineStr">
        <is>
          <t>I2C</t>
        </is>
      </c>
      <c r="G59" s="12" t="inlineStr"/>
      <c r="H59" s="12" t="inlineStr"/>
      <c r="I59" s="12" t="inlineStr"/>
      <c r="J59" s="12" t="inlineStr"/>
      <c r="K59" s="12" t="inlineStr">
        <is>
          <t>100µA</t>
        </is>
      </c>
      <c r="L59" s="29" t="n">
        <v>9</v>
      </c>
      <c r="M59" s="29" t="inlineStr">
        <is>
          <t>$$</t>
        </is>
      </c>
      <c r="N59" s="29" t="n">
        <v>2</v>
      </c>
      <c r="O59" s="12" t="inlineStr"/>
      <c r="P59" s="12" t="inlineStr"/>
      <c r="Q59" s="12" t="inlineStr">
        <is>
          <t>SF, DK, MO</t>
        </is>
      </c>
      <c r="R59" s="12" t="inlineStr">
        <is>
          <t>Health, Home</t>
        </is>
      </c>
    </row>
    <row r="60" ht="28" customHeight="1">
      <c r="A60" s="25" t="inlineStr">
        <is>
          <t>S056</t>
        </is>
      </c>
      <c r="B60" s="26" t="inlineStr">
        <is>
          <t>HC-SR04 ultrasonic</t>
        </is>
      </c>
      <c r="C60" s="12" t="inlineStr">
        <is>
          <t>Distance &amp; Ranging</t>
        </is>
      </c>
      <c r="D60" s="12" t="inlineStr">
        <is>
          <t>Distance 2-400cm via sound echo</t>
        </is>
      </c>
      <c r="E60" s="36" t="inlineStr">
        <is>
          <t>Acoustic</t>
        </is>
      </c>
      <c r="F60" s="12" t="inlineStr">
        <is>
          <t>Pulse</t>
        </is>
      </c>
      <c r="G60" s="12" t="inlineStr">
        <is>
          <t>2-400 cm</t>
        </is>
      </c>
      <c r="H60" s="12" t="inlineStr">
        <is>
          <t>±3 mm nominal, far worse in practice</t>
        </is>
      </c>
      <c r="I60" s="12" t="inlineStr">
        <is>
          <t>Standoff</t>
        </is>
      </c>
      <c r="J60" s="28" t="inlineStr">
        <is>
          <t>—</t>
        </is>
      </c>
      <c r="K60" s="12" t="inlineStr">
        <is>
          <t>15mA</t>
        </is>
      </c>
      <c r="L60" s="29" t="n">
        <v>1.5</v>
      </c>
      <c r="M60" s="29" t="inlineStr">
        <is>
          <t>$</t>
        </is>
      </c>
      <c r="N60" s="29" t="n">
        <v>1</v>
      </c>
      <c r="O60" s="12" t="inlineStr"/>
      <c r="P60" s="12" t="inlineStr">
        <is>
          <t>Active</t>
        </is>
      </c>
      <c r="Q60" s="12" t="inlineStr">
        <is>
          <t>AE, AMZ, SF, CE, DFR</t>
        </is>
      </c>
      <c r="R60" s="12" t="inlineStr">
        <is>
          <t>Play, Home</t>
        </is>
      </c>
    </row>
    <row r="61" ht="28" customHeight="1">
      <c r="A61" s="25" t="inlineStr">
        <is>
          <t>S057</t>
        </is>
      </c>
      <c r="B61" s="26" t="inlineStr">
        <is>
          <t>JSN-SR04T waterproof ultrasonic</t>
        </is>
      </c>
      <c r="C61" s="12" t="inlineStr">
        <is>
          <t>Distance &amp; Ranging</t>
        </is>
      </c>
      <c r="D61" s="12" t="inlineStr">
        <is>
          <t>Distance 20-600cm with sealed remote transducer</t>
        </is>
      </c>
      <c r="E61" s="31" t="inlineStr"/>
      <c r="F61" s="12" t="inlineStr">
        <is>
          <t>UART/Pulse</t>
        </is>
      </c>
      <c r="G61" s="12" t="inlineStr"/>
      <c r="H61" s="12" t="inlineStr"/>
      <c r="I61" s="12" t="inlineStr"/>
      <c r="J61" s="12" t="inlineStr"/>
      <c r="K61" s="12" t="inlineStr">
        <is>
          <t>30mA peak</t>
        </is>
      </c>
      <c r="L61" s="29" t="n">
        <v>6</v>
      </c>
      <c r="M61" s="29" t="inlineStr">
        <is>
          <t>$$</t>
        </is>
      </c>
      <c r="N61" s="29" t="n">
        <v>2</v>
      </c>
      <c r="O61" s="12" t="inlineStr"/>
      <c r="P61" s="12" t="inlineStr"/>
      <c r="Q61" s="12" t="inlineStr">
        <is>
          <t>AE, AMZ, DFR</t>
        </is>
      </c>
      <c r="R61" s="12" t="inlineStr">
        <is>
          <t>Water, Wild, Safety</t>
        </is>
      </c>
    </row>
    <row r="62" ht="28" customHeight="1">
      <c r="A62" s="25" t="inlineStr">
        <is>
          <t>S058</t>
        </is>
      </c>
      <c r="B62" s="26" t="inlineStr">
        <is>
          <t>VL53L0X ToF laser</t>
        </is>
      </c>
      <c r="C62" s="12" t="inlineStr">
        <is>
          <t>Distance &amp; Ranging</t>
        </is>
      </c>
      <c r="D62" s="12" t="inlineStr">
        <is>
          <t>Distance 30-2000mm, light-based, mm precision</t>
        </is>
      </c>
      <c r="E62" s="35" t="inlineStr">
        <is>
          <t>Optical</t>
        </is>
      </c>
      <c r="F62" s="12" t="inlineStr">
        <is>
          <t>I2C</t>
        </is>
      </c>
      <c r="G62" s="12" t="inlineStr">
        <is>
          <t>30-2000 mm</t>
        </is>
      </c>
      <c r="H62" s="12" t="inlineStr">
        <is>
          <t>±3% (target- and light-dependent)</t>
        </is>
      </c>
      <c r="I62" s="12" t="inlineStr">
        <is>
          <t>Standoff</t>
        </is>
      </c>
      <c r="J62" s="28" t="inlineStr">
        <is>
          <t>—</t>
        </is>
      </c>
      <c r="K62" s="12" t="inlineStr">
        <is>
          <t>19mA ranging</t>
        </is>
      </c>
      <c r="L62" s="29" t="n">
        <v>5</v>
      </c>
      <c r="M62" s="29" t="inlineStr">
        <is>
          <t>$$</t>
        </is>
      </c>
      <c r="N62" s="29" t="n">
        <v>1</v>
      </c>
      <c r="O62" s="30" t="inlineStr">
        <is>
          <t>☀LASER</t>
        </is>
      </c>
      <c r="P62" s="12" t="inlineStr">
        <is>
          <t>Active</t>
        </is>
      </c>
      <c r="Q62" s="12" t="inlineStr">
        <is>
          <t>AF, SF, AE, DK, PI</t>
        </is>
      </c>
      <c r="R62" s="12" t="inlineStr">
        <is>
          <t>MachineHealth, Play</t>
        </is>
      </c>
    </row>
    <row r="63" ht="28" customHeight="1">
      <c r="A63" s="25" t="inlineStr">
        <is>
          <t>S059</t>
        </is>
      </c>
      <c r="B63" s="26" t="inlineStr">
        <is>
          <t>VL53L1X long-range ToF</t>
        </is>
      </c>
      <c r="C63" s="12" t="inlineStr">
        <is>
          <t>Distance &amp; Ranging</t>
        </is>
      </c>
      <c r="D63" s="12" t="inlineStr">
        <is>
          <t>Distance to 4m with programmable region-of-interest</t>
        </is>
      </c>
      <c r="E63" s="31" t="inlineStr"/>
      <c r="F63" s="12" t="inlineStr">
        <is>
          <t>I2C</t>
        </is>
      </c>
      <c r="G63" s="12" t="inlineStr"/>
      <c r="H63" s="12" t="inlineStr"/>
      <c r="I63" s="12" t="inlineStr"/>
      <c r="J63" s="12" t="inlineStr"/>
      <c r="K63" s="12" t="inlineStr">
        <is>
          <t>20mA</t>
        </is>
      </c>
      <c r="L63" s="29" t="n">
        <v>12</v>
      </c>
      <c r="M63" s="29" t="inlineStr">
        <is>
          <t>$$</t>
        </is>
      </c>
      <c r="N63" s="29" t="n">
        <v>2</v>
      </c>
      <c r="O63" s="12" t="inlineStr"/>
      <c r="P63" s="12" t="inlineStr"/>
      <c r="Q63" s="12" t="inlineStr">
        <is>
          <t>AF, SF, PI, DK</t>
        </is>
      </c>
      <c r="R63" s="12" t="inlineStr">
        <is>
          <t>Home, Safety</t>
        </is>
      </c>
    </row>
    <row r="64" ht="28" customHeight="1">
      <c r="A64" s="25" t="inlineStr">
        <is>
          <t>S060</t>
        </is>
      </c>
      <c r="B64" s="26" t="inlineStr">
        <is>
          <t>VL53L5CX 8x8 ToF array</t>
        </is>
      </c>
      <c r="C64" s="12" t="inlineStr">
        <is>
          <t>Distance &amp; Ranging</t>
        </is>
      </c>
      <c r="D64" s="12" t="inlineStr">
        <is>
          <t>64 simultaneous distance zones (8x8 depth image) to 4m</t>
        </is>
      </c>
      <c r="E64" s="31" t="inlineStr"/>
      <c r="F64" s="12" t="inlineStr">
        <is>
          <t>I2C</t>
        </is>
      </c>
      <c r="G64" s="12" t="inlineStr"/>
      <c r="H64" s="12" t="inlineStr"/>
      <c r="I64" s="12" t="inlineStr"/>
      <c r="J64" s="12" t="inlineStr"/>
      <c r="K64" s="12" t="inlineStr">
        <is>
          <t>~70mA ranging</t>
        </is>
      </c>
      <c r="L64" s="29" t="n">
        <v>20</v>
      </c>
      <c r="M64" s="29" t="inlineStr">
        <is>
          <t>$$$</t>
        </is>
      </c>
      <c r="N64" s="29" t="n">
        <v>3</v>
      </c>
      <c r="O64" s="12" t="inlineStr"/>
      <c r="P64" s="12" t="inlineStr"/>
      <c r="Q64" s="12" t="inlineStr">
        <is>
          <t>SF, AF, DK, MO, PI</t>
        </is>
      </c>
      <c r="R64" s="12" t="inlineStr">
        <is>
          <t>Health, Safety</t>
        </is>
      </c>
    </row>
    <row r="65" ht="28" customHeight="1">
      <c r="A65" s="25" t="inlineStr">
        <is>
          <t>S061</t>
        </is>
      </c>
      <c r="B65" s="26" t="inlineStr">
        <is>
          <t>TF-Luna LiDAR</t>
        </is>
      </c>
      <c r="C65" s="12" t="inlineStr">
        <is>
          <t>Distance &amp; Ranging</t>
        </is>
      </c>
      <c r="D65" s="12" t="inlineStr">
        <is>
          <t>Distance 0.2-8m indoor</t>
        </is>
      </c>
      <c r="E65" s="31" t="inlineStr"/>
      <c r="F65" s="12" t="inlineStr">
        <is>
          <t>I2C/UART</t>
        </is>
      </c>
      <c r="G65" s="12" t="inlineStr"/>
      <c r="H65" s="12" t="inlineStr"/>
      <c r="I65" s="12" t="inlineStr"/>
      <c r="J65" s="12" t="inlineStr"/>
      <c r="K65" s="12" t="inlineStr">
        <is>
          <t>70mA</t>
        </is>
      </c>
      <c r="L65" s="29" t="n">
        <v>25</v>
      </c>
      <c r="M65" s="29" t="inlineStr">
        <is>
          <t>$$$</t>
        </is>
      </c>
      <c r="N65" s="29" t="n">
        <v>2</v>
      </c>
      <c r="O65" s="12" t="inlineStr"/>
      <c r="P65" s="12" t="inlineStr"/>
      <c r="Q65" s="12" t="inlineStr">
        <is>
          <t>AE, SF, DK, AMZ, DFR</t>
        </is>
      </c>
      <c r="R65" s="12" t="inlineStr">
        <is>
          <t>Home, Safety</t>
        </is>
      </c>
    </row>
    <row r="66" ht="28" customHeight="1">
      <c r="A66" s="25" t="inlineStr">
        <is>
          <t>S062</t>
        </is>
      </c>
      <c r="B66" s="26" t="inlineStr">
        <is>
          <t>RPLIDAR / LD19 scanning LiDAR</t>
        </is>
      </c>
      <c r="C66" s="12" t="inlineStr">
        <is>
          <t>Distance &amp; Ranging</t>
        </is>
      </c>
      <c r="D66" s="12" t="inlineStr">
        <is>
          <t>Full 360° distance map, 12m range, thousands of points/sec</t>
        </is>
      </c>
      <c r="E66" s="31" t="inlineStr"/>
      <c r="F66" s="12" t="inlineStr">
        <is>
          <t>UART</t>
        </is>
      </c>
      <c r="G66" s="12" t="inlineStr"/>
      <c r="H66" s="12" t="inlineStr"/>
      <c r="I66" s="12" t="inlineStr"/>
      <c r="J66" s="12" t="inlineStr"/>
      <c r="K66" s="12" t="inlineStr">
        <is>
          <t>300mA</t>
        </is>
      </c>
      <c r="L66" s="29" t="n">
        <v>40</v>
      </c>
      <c r="M66" s="29" t="inlineStr">
        <is>
          <t>$$$</t>
        </is>
      </c>
      <c r="N66" s="29" t="n">
        <v>4</v>
      </c>
      <c r="O66" s="12" t="inlineStr"/>
      <c r="P66" s="12" t="inlineStr"/>
      <c r="Q66" s="12" t="inlineStr">
        <is>
          <t>AE, SS, DFR, AMZ</t>
        </is>
      </c>
      <c r="R66" s="12" t="inlineStr">
        <is>
          <t>Robots, Play</t>
        </is>
      </c>
    </row>
    <row r="67" ht="28" customHeight="1">
      <c r="A67" s="25" t="inlineStr">
        <is>
          <t>S063</t>
        </is>
      </c>
      <c r="B67" s="26" t="inlineStr">
        <is>
          <t>Sharp GP2Y0A21 IR distance</t>
        </is>
      </c>
      <c r="C67" s="12" t="inlineStr">
        <is>
          <t>Distance &amp; Ranging</t>
        </is>
      </c>
      <c r="D67" s="12" t="inlineStr">
        <is>
          <t>Distance 10-80cm as analog voltage</t>
        </is>
      </c>
      <c r="E67" s="31" t="inlineStr"/>
      <c r="F67" s="12" t="inlineStr">
        <is>
          <t>Analog</t>
        </is>
      </c>
      <c r="G67" s="12" t="inlineStr"/>
      <c r="H67" s="12" t="inlineStr"/>
      <c r="I67" s="12" t="inlineStr"/>
      <c r="J67" s="12" t="inlineStr"/>
      <c r="K67" s="12" t="inlineStr">
        <is>
          <t>30mA</t>
        </is>
      </c>
      <c r="L67" s="29" t="n">
        <v>8</v>
      </c>
      <c r="M67" s="29" t="inlineStr">
        <is>
          <t>$$</t>
        </is>
      </c>
      <c r="N67" s="29" t="n">
        <v>1</v>
      </c>
      <c r="O67" s="12" t="inlineStr"/>
      <c r="P67" s="12" t="inlineStr"/>
      <c r="Q67" s="12" t="inlineStr">
        <is>
          <t>DK, MO, AE, SF</t>
        </is>
      </c>
      <c r="R67" s="12" t="inlineStr">
        <is>
          <t>Home, Robots</t>
        </is>
      </c>
    </row>
    <row r="68" ht="28" customHeight="1">
      <c r="A68" s="25" t="inlineStr">
        <is>
          <t>S064</t>
        </is>
      </c>
      <c r="B68" s="26" t="inlineStr">
        <is>
          <t>A02YYUW waterproof ultrasonic</t>
        </is>
      </c>
      <c r="C68" s="12" t="inlineStr">
        <is>
          <t>Distance &amp; Ranging</t>
        </is>
      </c>
      <c r="D68" s="12" t="inlineStr">
        <is>
          <t>3-450cm, fully potted sensor face, UART output</t>
        </is>
      </c>
      <c r="E68" s="31" t="inlineStr"/>
      <c r="F68" s="12" t="inlineStr">
        <is>
          <t>UART</t>
        </is>
      </c>
      <c r="G68" s="12" t="inlineStr"/>
      <c r="H68" s="12" t="inlineStr"/>
      <c r="I68" s="12" t="inlineStr"/>
      <c r="J68" s="12" t="inlineStr"/>
      <c r="K68" s="12" t="inlineStr">
        <is>
          <t>15mA</t>
        </is>
      </c>
      <c r="L68" s="29" t="n">
        <v>9</v>
      </c>
      <c r="M68" s="29" t="inlineStr">
        <is>
          <t>$$</t>
        </is>
      </c>
      <c r="N68" s="29" t="n">
        <v>1</v>
      </c>
      <c r="O68" s="12" t="inlineStr"/>
      <c r="P68" s="12" t="inlineStr"/>
      <c r="Q68" s="12" t="inlineStr">
        <is>
          <t>DFR, AE</t>
        </is>
      </c>
      <c r="R68" s="12" t="inlineStr">
        <is>
          <t>Water, Home, Grow</t>
        </is>
      </c>
    </row>
    <row r="69" ht="28" customHeight="1">
      <c r="A69" s="25" t="inlineStr">
        <is>
          <t>S065</t>
        </is>
      </c>
      <c r="B69" s="26" t="inlineStr">
        <is>
          <t>HC-SR501 PIR motion</t>
        </is>
      </c>
      <c r="C69" s="12" t="inlineStr">
        <is>
          <t>Presence &amp; Occupancy</t>
        </is>
      </c>
      <c r="D69" s="12" t="inlineStr">
        <is>
          <t>Movement of warm bodies, ~7m range</t>
        </is>
      </c>
      <c r="E69" s="27" t="inlineStr">
        <is>
          <t>Thermal</t>
        </is>
      </c>
      <c r="F69" s="12" t="inlineStr">
        <is>
          <t>Digital</t>
        </is>
      </c>
      <c r="G69" s="12" t="inlineStr">
        <is>
          <t>~7 m, 120° cone</t>
        </is>
      </c>
      <c r="H69" s="12" t="inlineStr"/>
      <c r="I69" s="12" t="inlineStr">
        <is>
          <t>Standoff</t>
        </is>
      </c>
      <c r="J69" s="32" t="inlineStr">
        <is>
          <t>◔ aggregate</t>
        </is>
      </c>
      <c r="K69" s="12" t="inlineStr">
        <is>
          <t>50µA idle</t>
        </is>
      </c>
      <c r="L69" s="29" t="n">
        <v>1.5</v>
      </c>
      <c r="M69" s="29" t="inlineStr">
        <is>
          <t>$</t>
        </is>
      </c>
      <c r="N69" s="29" t="n">
        <v>1</v>
      </c>
      <c r="O69" s="12" t="inlineStr"/>
      <c r="P69" s="12" t="inlineStr">
        <is>
          <t>Active</t>
        </is>
      </c>
      <c r="Q69" s="12" t="inlineStr">
        <is>
          <t>AE, AMZ, SF, CE, DFR</t>
        </is>
      </c>
      <c r="R69" s="12" t="inlineStr">
        <is>
          <t>Home, Safety</t>
        </is>
      </c>
    </row>
    <row r="70" ht="28" customHeight="1">
      <c r="A70" s="25" t="inlineStr">
        <is>
          <t>S066</t>
        </is>
      </c>
      <c r="B70" s="26" t="inlineStr">
        <is>
          <t>AM312 mini PIR</t>
        </is>
      </c>
      <c r="C70" s="12" t="inlineStr">
        <is>
          <t>Presence &amp; Occupancy</t>
        </is>
      </c>
      <c r="D70" s="12" t="inlineStr">
        <is>
          <t>Motion, 3-5m, in a thumbnail package at 3.3V</t>
        </is>
      </c>
      <c r="E70" s="31" t="inlineStr"/>
      <c r="F70" s="12" t="inlineStr">
        <is>
          <t>Digital</t>
        </is>
      </c>
      <c r="G70" s="12" t="inlineStr"/>
      <c r="H70" s="12" t="inlineStr"/>
      <c r="I70" s="12" t="inlineStr"/>
      <c r="J70" s="12" t="inlineStr"/>
      <c r="K70" s="12" t="inlineStr">
        <is>
          <t>15µA</t>
        </is>
      </c>
      <c r="L70" s="29" t="n">
        <v>2</v>
      </c>
      <c r="M70" s="29" t="inlineStr">
        <is>
          <t>$</t>
        </is>
      </c>
      <c r="N70" s="29" t="n">
        <v>1</v>
      </c>
      <c r="O70" s="12" t="inlineStr"/>
      <c r="P70" s="12" t="inlineStr"/>
      <c r="Q70" s="12" t="inlineStr">
        <is>
          <t>AE, AMZ</t>
        </is>
      </c>
      <c r="R70" s="12" t="inlineStr">
        <is>
          <t>Home, Safety</t>
        </is>
      </c>
    </row>
    <row r="71" ht="28" customHeight="1">
      <c r="A71" s="25" t="inlineStr">
        <is>
          <t>S067</t>
        </is>
      </c>
      <c r="B71" s="26" t="inlineStr">
        <is>
          <t>LD2410 mmWave presence</t>
        </is>
      </c>
      <c r="C71" s="12" t="inlineStr">
        <is>
          <t>Presence &amp; Occupancy</t>
        </is>
      </c>
      <c r="D71" s="12" t="inlineStr">
        <is>
          <t>Human presence (even motionless) + distance, 0-6m</t>
        </is>
      </c>
      <c r="E71" s="37" t="inlineStr">
        <is>
          <t>RF</t>
        </is>
      </c>
      <c r="F71" s="12" t="inlineStr">
        <is>
          <t>UART</t>
        </is>
      </c>
      <c r="G71" s="12" t="inlineStr">
        <is>
          <t>0-6 m presence, with configurable distance gates</t>
        </is>
      </c>
      <c r="H71" s="12" t="inlineStr"/>
      <c r="I71" s="12" t="inlineStr">
        <is>
          <t>Through-barrier</t>
        </is>
      </c>
      <c r="J71" s="32" t="inlineStr">
        <is>
          <t>◔ aggregate</t>
        </is>
      </c>
      <c r="K71" s="12" t="inlineStr">
        <is>
          <t>80mA</t>
        </is>
      </c>
      <c r="L71" s="29" t="n">
        <v>5</v>
      </c>
      <c r="M71" s="29" t="inlineStr">
        <is>
          <t>$$</t>
        </is>
      </c>
      <c r="N71" s="29" t="n">
        <v>2</v>
      </c>
      <c r="O71" s="12" t="inlineStr"/>
      <c r="P71" s="12" t="inlineStr">
        <is>
          <t>Active</t>
        </is>
      </c>
      <c r="Q71" s="12" t="inlineStr">
        <is>
          <t>AE, AMZ</t>
        </is>
      </c>
      <c r="R71" s="12" t="inlineStr">
        <is>
          <t>Home, Health</t>
        </is>
      </c>
    </row>
    <row r="72" ht="28" customHeight="1">
      <c r="A72" s="25" t="inlineStr">
        <is>
          <t>S068</t>
        </is>
      </c>
      <c r="B72" s="26" t="inlineStr">
        <is>
          <t>LD2450 multi-target tracking radar</t>
        </is>
      </c>
      <c r="C72" s="12" t="inlineStr">
        <is>
          <t>Presence &amp; Occupancy</t>
        </is>
      </c>
      <c r="D72" s="12" t="inlineStr">
        <is>
          <t>X/Y position + speed of up to 3 people, 6m</t>
        </is>
      </c>
      <c r="E72" s="31" t="inlineStr"/>
      <c r="F72" s="12" t="inlineStr">
        <is>
          <t>UART</t>
        </is>
      </c>
      <c r="G72" s="12" t="inlineStr"/>
      <c r="H72" s="12" t="inlineStr"/>
      <c r="I72" s="12" t="inlineStr"/>
      <c r="J72" s="12" t="inlineStr"/>
      <c r="K72" s="12" t="inlineStr">
        <is>
          <t>100mA</t>
        </is>
      </c>
      <c r="L72" s="29" t="n">
        <v>12</v>
      </c>
      <c r="M72" s="29" t="inlineStr">
        <is>
          <t>$$</t>
        </is>
      </c>
      <c r="N72" s="29" t="n">
        <v>3</v>
      </c>
      <c r="O72" s="12" t="inlineStr"/>
      <c r="P72" s="12" t="inlineStr"/>
      <c r="Q72" s="12" t="inlineStr">
        <is>
          <t>AE, AMZ</t>
        </is>
      </c>
      <c r="R72" s="12" t="inlineStr">
        <is>
          <t>Home, Play</t>
        </is>
      </c>
    </row>
    <row r="73" ht="28" customHeight="1">
      <c r="A73" s="25" t="inlineStr">
        <is>
          <t>S069</t>
        </is>
      </c>
      <c r="B73" s="26" t="inlineStr">
        <is>
          <t>Seeed MR60BHA2 vital-sign radar</t>
        </is>
      </c>
      <c r="C73" s="12" t="inlineStr">
        <is>
          <t>Presence &amp; Occupancy</t>
        </is>
      </c>
      <c r="D73" s="12" t="inlineStr">
        <is>
          <t>Breathing &amp; heart rate at distance / fall detection</t>
        </is>
      </c>
      <c r="E73" s="31" t="inlineStr"/>
      <c r="F73" s="12" t="inlineStr">
        <is>
          <t>UART</t>
        </is>
      </c>
      <c r="G73" s="12" t="inlineStr"/>
      <c r="H73" s="12" t="inlineStr"/>
      <c r="I73" s="12" t="inlineStr"/>
      <c r="J73" s="12" t="inlineStr"/>
      <c r="K73" s="12" t="inlineStr">
        <is>
          <t>~90mA</t>
        </is>
      </c>
      <c r="L73" s="29" t="n">
        <v>25</v>
      </c>
      <c r="M73" s="29" t="inlineStr">
        <is>
          <t>$$$</t>
        </is>
      </c>
      <c r="N73" s="29" t="n">
        <v>3</v>
      </c>
      <c r="O73" s="12" t="inlineStr"/>
      <c r="P73" s="12" t="inlineStr"/>
      <c r="Q73" s="12" t="inlineStr">
        <is>
          <t>SS, AE</t>
        </is>
      </c>
      <c r="R73" s="12" t="inlineStr">
        <is>
          <t>Health, Home, Safety</t>
        </is>
      </c>
    </row>
    <row r="74" ht="28" customHeight="1">
      <c r="A74" s="25" t="inlineStr">
        <is>
          <t>S070</t>
        </is>
      </c>
      <c r="B74" s="26" t="inlineStr">
        <is>
          <t>RCWL-0516 doppler radar</t>
        </is>
      </c>
      <c r="C74" s="12" t="inlineStr">
        <is>
          <t>Presence &amp; Occupancy</t>
        </is>
      </c>
      <c r="D74" s="12" t="inlineStr">
        <is>
          <t>Motion through thin walls/plastic, ~5-7m sphere</t>
        </is>
      </c>
      <c r="E74" s="31" t="inlineStr"/>
      <c r="F74" s="12" t="inlineStr">
        <is>
          <t>Digital</t>
        </is>
      </c>
      <c r="G74" s="12" t="inlineStr"/>
      <c r="H74" s="12" t="inlineStr"/>
      <c r="I74" s="12" t="inlineStr"/>
      <c r="J74" s="12" t="inlineStr"/>
      <c r="K74" s="12" t="inlineStr">
        <is>
          <t>2.8mA</t>
        </is>
      </c>
      <c r="L74" s="29" t="n">
        <v>1.2</v>
      </c>
      <c r="M74" s="29" t="inlineStr">
        <is>
          <t>$</t>
        </is>
      </c>
      <c r="N74" s="29" t="n">
        <v>1</v>
      </c>
      <c r="O74" s="12" t="inlineStr"/>
      <c r="P74" s="12" t="inlineStr"/>
      <c r="Q74" s="12" t="inlineStr">
        <is>
          <t>AE, AMZ</t>
        </is>
      </c>
      <c r="R74" s="12" t="inlineStr">
        <is>
          <t>Home, Play, Safety</t>
        </is>
      </c>
    </row>
    <row r="75" ht="28" customHeight="1">
      <c r="A75" s="25" t="inlineStr">
        <is>
          <t>S071</t>
        </is>
      </c>
      <c r="B75" s="26" t="inlineStr">
        <is>
          <t>Grid-EYE AMG8833 thermal array</t>
        </is>
      </c>
      <c r="C75" s="12" t="inlineStr">
        <is>
          <t>Presence &amp; Occupancy</t>
        </is>
      </c>
      <c r="D75" s="12" t="inlineStr">
        <is>
          <t>8x8 grid of temperatures (64 thermal pixels), 0-80°C</t>
        </is>
      </c>
      <c r="E75" s="27" t="inlineStr">
        <is>
          <t>Thermal</t>
        </is>
      </c>
      <c r="F75" s="12" t="inlineStr">
        <is>
          <t>I2C</t>
        </is>
      </c>
      <c r="G75" s="12" t="inlineStr">
        <is>
          <t>0-80°C, 8x8 zones, 60° FOV</t>
        </is>
      </c>
      <c r="H75" s="12" t="inlineStr">
        <is>
          <t>±2.5°C</t>
        </is>
      </c>
      <c r="I75" s="12" t="inlineStr">
        <is>
          <t>Standoff</t>
        </is>
      </c>
      <c r="J75" s="32" t="inlineStr">
        <is>
          <t>◔ aggregate</t>
        </is>
      </c>
      <c r="K75" s="12" t="inlineStr">
        <is>
          <t>4.5mA</t>
        </is>
      </c>
      <c r="L75" s="29" t="n">
        <v>35</v>
      </c>
      <c r="M75" s="29" t="inlineStr">
        <is>
          <t>$$$</t>
        </is>
      </c>
      <c r="N75" s="29" t="n">
        <v>2</v>
      </c>
      <c r="O75" s="12" t="inlineStr"/>
      <c r="P75" s="12" t="inlineStr">
        <is>
          <t>Active</t>
        </is>
      </c>
      <c r="Q75" s="12" t="inlineStr">
        <is>
          <t>AF, SF, DK, AE</t>
        </is>
      </c>
      <c r="R75" s="12" t="inlineStr">
        <is>
          <t>Safety, Health, Home</t>
        </is>
      </c>
    </row>
    <row r="76" ht="28" customHeight="1">
      <c r="A76" s="25" t="inlineStr">
        <is>
          <t>S072</t>
        </is>
      </c>
      <c r="B76" s="26" t="inlineStr">
        <is>
          <t>MPU-6050 6-axis IMU</t>
        </is>
      </c>
      <c r="C76" s="12" t="inlineStr">
        <is>
          <t>Motion &amp; Vibration</t>
        </is>
      </c>
      <c r="D76" s="12" t="inlineStr">
        <is>
          <t>3-axis acceleration + 3-axis rotation rate</t>
        </is>
      </c>
      <c r="E76" s="34" t="inlineStr">
        <is>
          <t>Mechanical</t>
        </is>
      </c>
      <c r="F76" s="12" t="inlineStr">
        <is>
          <t>I2C</t>
        </is>
      </c>
      <c r="G76" s="12" t="inlineStr">
        <is>
          <t>±2-16 g, ±250-2000 °/s</t>
        </is>
      </c>
      <c r="H76" s="12" t="inlineStr">
        <is>
          <t>Uncalibrated; significant offset drift</t>
        </is>
      </c>
      <c r="I76" s="12" t="inlineStr">
        <is>
          <t>Contact</t>
        </is>
      </c>
      <c r="J76" s="28" t="inlineStr">
        <is>
          <t>—</t>
        </is>
      </c>
      <c r="K76" s="12" t="inlineStr">
        <is>
          <t>3.8mA</t>
        </is>
      </c>
      <c r="L76" s="29" t="n">
        <v>2</v>
      </c>
      <c r="M76" s="29" t="inlineStr">
        <is>
          <t>$</t>
        </is>
      </c>
      <c r="N76" s="29" t="n">
        <v>2</v>
      </c>
      <c r="O76" s="12" t="inlineStr"/>
      <c r="P76" s="12" t="inlineStr">
        <is>
          <t>EOL</t>
        </is>
      </c>
      <c r="Q76" s="12" t="inlineStr">
        <is>
          <t>AE, AMZ, DFR, CE</t>
        </is>
      </c>
      <c r="R76" s="12" t="inlineStr">
        <is>
          <t>Play, MachineHealth</t>
        </is>
      </c>
    </row>
    <row r="77" ht="28" customHeight="1">
      <c r="A77" s="25" t="inlineStr">
        <is>
          <t>S073</t>
        </is>
      </c>
      <c r="B77" s="26" t="inlineStr">
        <is>
          <t>LSM6DSOX ML-core IMU</t>
        </is>
      </c>
      <c r="C77" s="12" t="inlineStr">
        <is>
          <t>Motion &amp; Vibration</t>
        </is>
      </c>
      <c r="D77" s="12" t="inlineStr">
        <is>
          <t>6-axis motion + on-chip machine-learning core</t>
        </is>
      </c>
      <c r="E77" s="31" t="inlineStr"/>
      <c r="F77" s="12" t="inlineStr">
        <is>
          <t>I2C/SPI</t>
        </is>
      </c>
      <c r="G77" s="12" t="inlineStr"/>
      <c r="H77" s="12" t="inlineStr"/>
      <c r="I77" s="12" t="inlineStr"/>
      <c r="J77" s="12" t="inlineStr"/>
      <c r="K77" s="12" t="inlineStr">
        <is>
          <t>0.55mA HP mode</t>
        </is>
      </c>
      <c r="L77" s="29" t="n">
        <v>10</v>
      </c>
      <c r="M77" s="29" t="inlineStr">
        <is>
          <t>$$</t>
        </is>
      </c>
      <c r="N77" s="29" t="n">
        <v>2</v>
      </c>
      <c r="O77" s="12" t="inlineStr"/>
      <c r="P77" s="12" t="inlineStr"/>
      <c r="Q77" s="12" t="inlineStr">
        <is>
          <t>AF, SF, DK, MO</t>
        </is>
      </c>
      <c r="R77" s="12" t="inlineStr">
        <is>
          <t>Health, MachineHealth</t>
        </is>
      </c>
    </row>
    <row r="78" ht="28" customHeight="1">
      <c r="A78" s="25" t="inlineStr">
        <is>
          <t>S074</t>
        </is>
      </c>
      <c r="B78" s="26" t="inlineStr">
        <is>
          <t>BNO055 fusion IMU</t>
        </is>
      </c>
      <c r="C78" s="12" t="inlineStr">
        <is>
          <t>Motion &amp; Vibration</t>
        </is>
      </c>
      <c r="D78" s="12" t="inlineStr">
        <is>
          <t>Absolute orientation (Euler/quaternion) ready-made</t>
        </is>
      </c>
      <c r="E78" s="31" t="inlineStr"/>
      <c r="F78" s="12" t="inlineStr">
        <is>
          <t>I2C/UART</t>
        </is>
      </c>
      <c r="G78" s="12" t="inlineStr"/>
      <c r="H78" s="12" t="inlineStr"/>
      <c r="I78" s="12" t="inlineStr"/>
      <c r="J78" s="12" t="inlineStr"/>
      <c r="K78" s="12" t="inlineStr">
        <is>
          <t>12mA</t>
        </is>
      </c>
      <c r="L78" s="29" t="n">
        <v>25</v>
      </c>
      <c r="M78" s="29" t="inlineStr">
        <is>
          <t>$$$</t>
        </is>
      </c>
      <c r="N78" s="29" t="n">
        <v>2</v>
      </c>
      <c r="O78" s="12" t="inlineStr"/>
      <c r="P78" s="12" t="inlineStr"/>
      <c r="Q78" s="12" t="inlineStr">
        <is>
          <t>AF, DK, MO, CE</t>
        </is>
      </c>
      <c r="R78" s="12" t="inlineStr">
        <is>
          <t>Health, Robots</t>
        </is>
      </c>
    </row>
    <row r="79" ht="28" customHeight="1">
      <c r="A79" s="25" t="inlineStr">
        <is>
          <t>S075</t>
        </is>
      </c>
      <c r="B79" s="26" t="inlineStr">
        <is>
          <t>BNO086 high-perf fusion IMU</t>
        </is>
      </c>
      <c r="C79" s="12" t="inlineStr">
        <is>
          <t>Motion &amp; Vibration</t>
        </is>
      </c>
      <c r="D79" s="12" t="inlineStr">
        <is>
          <t>Precision orientation + activity classification</t>
        </is>
      </c>
      <c r="E79" s="31" t="inlineStr"/>
      <c r="F79" s="12" t="inlineStr">
        <is>
          <t>I2C/SPI/UART</t>
        </is>
      </c>
      <c r="G79" s="12" t="inlineStr"/>
      <c r="H79" s="12" t="inlineStr"/>
      <c r="I79" s="12" t="inlineStr"/>
      <c r="J79" s="12" t="inlineStr"/>
      <c r="K79" s="12" t="inlineStr">
        <is>
          <t>~10mA</t>
        </is>
      </c>
      <c r="L79" s="29" t="n">
        <v>22</v>
      </c>
      <c r="M79" s="29" t="inlineStr">
        <is>
          <t>$$$</t>
        </is>
      </c>
      <c r="N79" s="29" t="n">
        <v>3</v>
      </c>
      <c r="O79" s="12" t="inlineStr"/>
      <c r="P79" s="12" t="inlineStr"/>
      <c r="Q79" s="12" t="inlineStr">
        <is>
          <t>SF, AF, DK, MO</t>
        </is>
      </c>
      <c r="R79" s="12" t="inlineStr">
        <is>
          <t>Play, Health</t>
        </is>
      </c>
    </row>
    <row r="80" ht="28" customHeight="1">
      <c r="A80" s="25" t="inlineStr">
        <is>
          <t>S076</t>
        </is>
      </c>
      <c r="B80" s="26" t="inlineStr">
        <is>
          <t>ADXL345 accelerometer</t>
        </is>
      </c>
      <c r="C80" s="12" t="inlineStr">
        <is>
          <t>Motion &amp; Vibration</t>
        </is>
      </c>
      <c r="D80" s="12" t="inlineStr">
        <is>
          <t>±16g acceleration with tap/freefall detection</t>
        </is>
      </c>
      <c r="E80" s="34" t="inlineStr">
        <is>
          <t>Mechanical</t>
        </is>
      </c>
      <c r="F80" s="12" t="inlineStr">
        <is>
          <t>I2C/SPI</t>
        </is>
      </c>
      <c r="G80" s="12" t="inlineStr">
        <is>
          <t>±2-16 g</t>
        </is>
      </c>
      <c r="H80" s="12" t="inlineStr">
        <is>
          <t>±0.5% typical</t>
        </is>
      </c>
      <c r="I80" s="12" t="inlineStr">
        <is>
          <t>Contact</t>
        </is>
      </c>
      <c r="J80" s="28" t="inlineStr">
        <is>
          <t>—</t>
        </is>
      </c>
      <c r="K80" s="12" t="inlineStr">
        <is>
          <t>40µA</t>
        </is>
      </c>
      <c r="L80" s="29" t="n">
        <v>3</v>
      </c>
      <c r="M80" s="29" t="inlineStr">
        <is>
          <t>$</t>
        </is>
      </c>
      <c r="N80" s="29" t="n">
        <v>1</v>
      </c>
      <c r="O80" s="12" t="inlineStr"/>
      <c r="P80" s="12" t="inlineStr">
        <is>
          <t>Mature</t>
        </is>
      </c>
      <c r="Q80" s="12" t="inlineStr">
        <is>
          <t>AE, AF, SF, DK, CE</t>
        </is>
      </c>
      <c r="R80" s="12" t="inlineStr">
        <is>
          <t>MachineHealth, Play</t>
        </is>
      </c>
    </row>
    <row r="81" ht="28" customHeight="1">
      <c r="A81" s="25" t="inlineStr">
        <is>
          <t>S077</t>
        </is>
      </c>
      <c r="B81" s="26" t="inlineStr">
        <is>
          <t>ADXL355 low-noise accel</t>
        </is>
      </c>
      <c r="C81" s="12" t="inlineStr">
        <is>
          <t>Motion &amp; Vibration</t>
        </is>
      </c>
      <c r="D81" s="12" t="inlineStr">
        <is>
          <t>±2-8g at seismometer-class noise floor</t>
        </is>
      </c>
      <c r="E81" s="31" t="inlineStr"/>
      <c r="F81" s="12" t="inlineStr">
        <is>
          <t>I2C/SPI</t>
        </is>
      </c>
      <c r="G81" s="12" t="inlineStr"/>
      <c r="H81" s="12" t="inlineStr"/>
      <c r="I81" s="12" t="inlineStr"/>
      <c r="J81" s="12" t="inlineStr"/>
      <c r="K81" s="12" t="inlineStr">
        <is>
          <t>200µA</t>
        </is>
      </c>
      <c r="L81" s="29" t="n">
        <v>38</v>
      </c>
      <c r="M81" s="29" t="inlineStr">
        <is>
          <t>$$$</t>
        </is>
      </c>
      <c r="N81" s="29" t="n">
        <v>3</v>
      </c>
      <c r="O81" s="12" t="inlineStr"/>
      <c r="P81" s="12" t="inlineStr"/>
      <c r="Q81" s="12" t="inlineStr">
        <is>
          <t>AF, DK, MO</t>
        </is>
      </c>
      <c r="R81" s="12" t="inlineStr">
        <is>
          <t>Wild, MachineHealth, Safety</t>
        </is>
      </c>
    </row>
    <row r="82" ht="28" customHeight="1">
      <c r="A82" s="25" t="inlineStr">
        <is>
          <t>S078</t>
        </is>
      </c>
      <c r="B82" s="26" t="inlineStr">
        <is>
          <t>LIS3DH budget accel</t>
        </is>
      </c>
      <c r="C82" s="12" t="inlineStr">
        <is>
          <t>Motion &amp; Vibration</t>
        </is>
      </c>
      <c r="D82" s="12" t="inlineStr">
        <is>
          <t>±2-16g, ultra-low power with smart wake</t>
        </is>
      </c>
      <c r="E82" s="31" t="inlineStr"/>
      <c r="F82" s="12" t="inlineStr">
        <is>
          <t>I2C/SPI</t>
        </is>
      </c>
      <c r="G82" s="12" t="inlineStr"/>
      <c r="H82" s="12" t="inlineStr"/>
      <c r="I82" s="12" t="inlineStr"/>
      <c r="J82" s="12" t="inlineStr"/>
      <c r="K82" s="12" t="inlineStr">
        <is>
          <t>2µA @10Hz LP</t>
        </is>
      </c>
      <c r="L82" s="29" t="n">
        <v>3</v>
      </c>
      <c r="M82" s="29" t="inlineStr">
        <is>
          <t>$</t>
        </is>
      </c>
      <c r="N82" s="29" t="n">
        <v>1</v>
      </c>
      <c r="O82" s="12" t="inlineStr"/>
      <c r="P82" s="12" t="inlineStr"/>
      <c r="Q82" s="12" t="inlineStr">
        <is>
          <t>AF, SF, AE, DK</t>
        </is>
      </c>
      <c r="R82" s="12" t="inlineStr">
        <is>
          <t>Safety, Energy</t>
        </is>
      </c>
    </row>
    <row r="83" ht="28" customHeight="1">
      <c r="A83" s="25" t="inlineStr">
        <is>
          <t>S079</t>
        </is>
      </c>
      <c r="B83" s="26" t="inlineStr">
        <is>
          <t>ICM-20948 9-axis IMU</t>
        </is>
      </c>
      <c r="C83" s="12" t="inlineStr">
        <is>
          <t>Motion &amp; Vibration</t>
        </is>
      </c>
      <c r="D83" s="12" t="inlineStr">
        <is>
          <t>Accel + gyro + magnetometer raw 9-DOF</t>
        </is>
      </c>
      <c r="E83" s="31" t="inlineStr"/>
      <c r="F83" s="12" t="inlineStr">
        <is>
          <t>I2C/SPI</t>
        </is>
      </c>
      <c r="G83" s="12" t="inlineStr"/>
      <c r="H83" s="12" t="inlineStr"/>
      <c r="I83" s="12" t="inlineStr"/>
      <c r="J83" s="12" t="inlineStr"/>
      <c r="K83" s="12" t="inlineStr">
        <is>
          <t>3mA</t>
        </is>
      </c>
      <c r="L83" s="29" t="n">
        <v>15</v>
      </c>
      <c r="M83" s="29" t="inlineStr">
        <is>
          <t>$$$</t>
        </is>
      </c>
      <c r="N83" s="29" t="n">
        <v>3</v>
      </c>
      <c r="O83" s="12" t="inlineStr"/>
      <c r="P83" s="12" t="inlineStr"/>
      <c r="Q83" s="12" t="inlineStr">
        <is>
          <t>SF, AF, DK, MO</t>
        </is>
      </c>
      <c r="R83" s="12" t="inlineStr">
        <is>
          <t>Play, Health</t>
        </is>
      </c>
    </row>
    <row r="84" ht="28" customHeight="1">
      <c r="A84" s="25" t="inlineStr">
        <is>
          <t>S080</t>
        </is>
      </c>
      <c r="B84" s="26" t="inlineStr">
        <is>
          <t>High-g accel ADXL375</t>
        </is>
      </c>
      <c r="C84" s="12" t="inlineStr">
        <is>
          <t>Motion &amp; Vibration</t>
        </is>
      </c>
      <c r="D84" s="12" t="inlineStr">
        <is>
          <t>Impacts up to ±200g without clipping</t>
        </is>
      </c>
      <c r="E84" s="31" t="inlineStr"/>
      <c r="F84" s="12" t="inlineStr">
        <is>
          <t>I2C/SPI</t>
        </is>
      </c>
      <c r="G84" s="12" t="inlineStr"/>
      <c r="H84" s="12" t="inlineStr"/>
      <c r="I84" s="12" t="inlineStr"/>
      <c r="J84" s="12" t="inlineStr"/>
      <c r="K84" s="12" t="inlineStr">
        <is>
          <t>140µA</t>
        </is>
      </c>
      <c r="L84" s="29" t="n">
        <v>18</v>
      </c>
      <c r="M84" s="29" t="inlineStr">
        <is>
          <t>$$$</t>
        </is>
      </c>
      <c r="N84" s="29" t="n">
        <v>2</v>
      </c>
      <c r="O84" s="12" t="inlineStr"/>
      <c r="P84" s="12" t="inlineStr"/>
      <c r="Q84" s="12" t="inlineStr">
        <is>
          <t>AF, DK, MO</t>
        </is>
      </c>
      <c r="R84" s="12" t="inlineStr">
        <is>
          <t>Health, Safety</t>
        </is>
      </c>
    </row>
    <row r="85" ht="28" customHeight="1">
      <c r="A85" s="25" t="inlineStr">
        <is>
          <t>S081</t>
        </is>
      </c>
      <c r="B85" s="26" t="inlineStr">
        <is>
          <t>QMC5883L compass</t>
        </is>
      </c>
      <c r="C85" s="12" t="inlineStr">
        <is>
          <t>Magnetic &amp; Compass</t>
        </is>
      </c>
      <c r="D85" s="12" t="inlineStr">
        <is>
          <t>Earth's magnetic field → compass heading</t>
        </is>
      </c>
      <c r="E85" s="31" t="inlineStr"/>
      <c r="F85" s="12" t="inlineStr">
        <is>
          <t>I2C</t>
        </is>
      </c>
      <c r="G85" s="12" t="inlineStr"/>
      <c r="H85" s="12" t="inlineStr"/>
      <c r="I85" s="12" t="inlineStr"/>
      <c r="J85" s="12" t="inlineStr"/>
      <c r="K85" s="12" t="inlineStr">
        <is>
          <t>75µA</t>
        </is>
      </c>
      <c r="L85" s="29" t="n">
        <v>2</v>
      </c>
      <c r="M85" s="29" t="inlineStr">
        <is>
          <t>$</t>
        </is>
      </c>
      <c r="N85" s="29" t="n">
        <v>2</v>
      </c>
      <c r="O85" s="12" t="inlineStr"/>
      <c r="P85" s="12" t="inlineStr"/>
      <c r="Q85" s="12" t="inlineStr">
        <is>
          <t>AE, AMZ, DFR</t>
        </is>
      </c>
      <c r="R85" s="12" t="inlineStr">
        <is>
          <t>Home, Robots</t>
        </is>
      </c>
    </row>
    <row r="86" ht="28" customHeight="1">
      <c r="A86" s="25" t="inlineStr">
        <is>
          <t>S082</t>
        </is>
      </c>
      <c r="B86" s="26" t="inlineStr">
        <is>
          <t>MMC5603 precision magnetometer</t>
        </is>
      </c>
      <c r="C86" s="12" t="inlineStr">
        <is>
          <t>Magnetic &amp; Compass</t>
        </is>
      </c>
      <c r="D86" s="12" t="inlineStr">
        <is>
          <t>±30 gauss field with 0.0625mG resolution</t>
        </is>
      </c>
      <c r="E86" s="31" t="inlineStr"/>
      <c r="F86" s="12" t="inlineStr">
        <is>
          <t>I2C</t>
        </is>
      </c>
      <c r="G86" s="12" t="inlineStr"/>
      <c r="H86" s="12" t="inlineStr"/>
      <c r="I86" s="12" t="inlineStr"/>
      <c r="J86" s="12" t="inlineStr"/>
      <c r="K86" s="12" t="inlineStr">
        <is>
          <t>1µA @1Hz</t>
        </is>
      </c>
      <c r="L86" s="29" t="n">
        <v>6</v>
      </c>
      <c r="M86" s="29" t="inlineStr">
        <is>
          <t>$$</t>
        </is>
      </c>
      <c r="N86" s="29" t="n">
        <v>2</v>
      </c>
      <c r="O86" s="12" t="inlineStr"/>
      <c r="P86" s="12" t="inlineStr"/>
      <c r="Q86" s="12" t="inlineStr">
        <is>
          <t>AF, DK, MO</t>
        </is>
      </c>
      <c r="R86" s="12" t="inlineStr">
        <is>
          <t>Invisible, Home</t>
        </is>
      </c>
    </row>
    <row r="87" ht="28" customHeight="1">
      <c r="A87" s="25" t="inlineStr">
        <is>
          <t>S083</t>
        </is>
      </c>
      <c r="B87" s="26" t="inlineStr">
        <is>
          <t>TLV493D 3D magnetic</t>
        </is>
      </c>
      <c r="C87" s="12" t="inlineStr">
        <is>
          <t>Magnetic &amp; Compass</t>
        </is>
      </c>
      <c r="D87" s="12" t="inlineStr">
        <is>
          <t>3D position/rotation of a nearby magnet</t>
        </is>
      </c>
      <c r="E87" s="31" t="inlineStr"/>
      <c r="F87" s="12" t="inlineStr">
        <is>
          <t>I2C</t>
        </is>
      </c>
      <c r="G87" s="12" t="inlineStr"/>
      <c r="H87" s="12" t="inlineStr"/>
      <c r="I87" s="12" t="inlineStr"/>
      <c r="J87" s="12" t="inlineStr"/>
      <c r="K87" s="12" t="inlineStr">
        <is>
          <t>10µA-3.4mA</t>
        </is>
      </c>
      <c r="L87" s="29" t="n">
        <v>6</v>
      </c>
      <c r="M87" s="29" t="inlineStr">
        <is>
          <t>$$</t>
        </is>
      </c>
      <c r="N87" s="29" t="n">
        <v>2</v>
      </c>
      <c r="O87" s="12" t="inlineStr"/>
      <c r="P87" s="12" t="inlineStr"/>
      <c r="Q87" s="12" t="inlineStr">
        <is>
          <t>AF, DK, MO</t>
        </is>
      </c>
      <c r="R87" s="12" t="inlineStr">
        <is>
          <t>MachineHealth, Water</t>
        </is>
      </c>
    </row>
    <row r="88" ht="28" customHeight="1">
      <c r="A88" s="25" t="inlineStr">
        <is>
          <t>S084</t>
        </is>
      </c>
      <c r="B88" s="26" t="inlineStr">
        <is>
          <t>A3144 / SS49E Hall switches</t>
        </is>
      </c>
      <c r="C88" s="12" t="inlineStr">
        <is>
          <t>Magnetic &amp; Compass</t>
        </is>
      </c>
      <c r="D88" s="12" t="inlineStr">
        <is>
          <t>Magnet present? (A3144) / field strength (SS49E)</t>
        </is>
      </c>
      <c r="E88" s="31" t="inlineStr"/>
      <c r="F88" s="12" t="inlineStr">
        <is>
          <t>Analog/Digital</t>
        </is>
      </c>
      <c r="G88" s="12" t="inlineStr"/>
      <c r="H88" s="12" t="inlineStr"/>
      <c r="I88" s="12" t="inlineStr"/>
      <c r="J88" s="12" t="inlineStr"/>
      <c r="K88" s="12" t="inlineStr">
        <is>
          <t>3-8mA</t>
        </is>
      </c>
      <c r="L88" s="29" t="n">
        <v>0.4</v>
      </c>
      <c r="M88" s="29" t="inlineStr">
        <is>
          <t>$</t>
        </is>
      </c>
      <c r="N88" s="29" t="n">
        <v>1</v>
      </c>
      <c r="O88" s="12" t="inlineStr"/>
      <c r="P88" s="12" t="inlineStr"/>
      <c r="Q88" s="12" t="inlineStr">
        <is>
          <t>AE, AMZ, DK, CE</t>
        </is>
      </c>
      <c r="R88" s="12" t="inlineStr">
        <is>
          <t>Energy, MachineHealth</t>
        </is>
      </c>
    </row>
    <row r="89" ht="28" customHeight="1">
      <c r="A89" s="25" t="inlineStr">
        <is>
          <t>S085</t>
        </is>
      </c>
      <c r="B89" s="26" t="inlineStr">
        <is>
          <t>Reed switch</t>
        </is>
      </c>
      <c r="C89" s="12" t="inlineStr">
        <is>
          <t>Magnetic &amp; Compass</t>
        </is>
      </c>
      <c r="D89" s="12" t="inlineStr">
        <is>
          <t>Magnet proximity (mechanical contact)</t>
        </is>
      </c>
      <c r="E89" s="38" t="inlineStr">
        <is>
          <t>Magnetic</t>
        </is>
      </c>
      <c r="F89" s="12" t="inlineStr">
        <is>
          <t>Digital</t>
        </is>
      </c>
      <c r="G89" s="12" t="inlineStr">
        <is>
          <t>Contact closes within ~10-25 mm of a magnet</t>
        </is>
      </c>
      <c r="H89" s="12" t="inlineStr"/>
      <c r="I89" s="12" t="inlineStr">
        <is>
          <t>Standoff</t>
        </is>
      </c>
      <c r="J89" s="28" t="inlineStr">
        <is>
          <t>—</t>
        </is>
      </c>
      <c r="K89" s="12" t="inlineStr">
        <is>
          <t>0 (zero!)</t>
        </is>
      </c>
      <c r="L89" s="29" t="n">
        <v>0.5</v>
      </c>
      <c r="M89" s="29" t="inlineStr">
        <is>
          <t>$</t>
        </is>
      </c>
      <c r="N89" s="29" t="n">
        <v>1</v>
      </c>
      <c r="O89" s="12" t="inlineStr"/>
      <c r="P89" s="12" t="inlineStr">
        <is>
          <t>Active</t>
        </is>
      </c>
      <c r="Q89" s="12" t="inlineStr">
        <is>
          <t>AE, AMZ, DK, CE</t>
        </is>
      </c>
      <c r="R89" s="12" t="inlineStr">
        <is>
          <t>Home, Safety, Energy</t>
        </is>
      </c>
    </row>
    <row r="90" ht="28" customHeight="1">
      <c r="A90" s="25" t="inlineStr">
        <is>
          <t>S086</t>
        </is>
      </c>
      <c r="B90" s="26" t="inlineStr">
        <is>
          <t>MLX90393 wide-range 3D mag</t>
        </is>
      </c>
      <c r="C90" s="12" t="inlineStr">
        <is>
          <t>Magnetic &amp; Compass</t>
        </is>
      </c>
      <c r="D90" s="12" t="inlineStr">
        <is>
          <t>3-axis field ±50mT with programmable resolution</t>
        </is>
      </c>
      <c r="E90" s="31" t="inlineStr"/>
      <c r="F90" s="12" t="inlineStr">
        <is>
          <t>I2C/SPI</t>
        </is>
      </c>
      <c r="G90" s="12" t="inlineStr"/>
      <c r="H90" s="12" t="inlineStr"/>
      <c r="I90" s="12" t="inlineStr"/>
      <c r="J90" s="12" t="inlineStr"/>
      <c r="K90" s="12" t="inlineStr">
        <is>
          <t>100µA WOC mode</t>
        </is>
      </c>
      <c r="L90" s="29" t="n">
        <v>8</v>
      </c>
      <c r="M90" s="29" t="inlineStr">
        <is>
          <t>$$</t>
        </is>
      </c>
      <c r="N90" s="29" t="n">
        <v>2</v>
      </c>
      <c r="O90" s="12" t="inlineStr"/>
      <c r="P90" s="12" t="inlineStr"/>
      <c r="Q90" s="12" t="inlineStr">
        <is>
          <t>AF, SF, DK, MO</t>
        </is>
      </c>
      <c r="R90" s="12" t="inlineStr">
        <is>
          <t>Invisible, MachineHealth, Play</t>
        </is>
      </c>
    </row>
    <row r="91" ht="28" customHeight="1">
      <c r="A91" s="25" t="inlineStr">
        <is>
          <t>S087</t>
        </is>
      </c>
      <c r="B91" s="26" t="inlineStr">
        <is>
          <t>INMP441 I2S MEMS mic</t>
        </is>
      </c>
      <c r="C91" s="12" t="inlineStr">
        <is>
          <t>Sound &amp; Audio</t>
        </is>
      </c>
      <c r="D91" s="12" t="inlineStr">
        <is>
          <t>Audio waveform, 60Hz-15kHz, digital output</t>
        </is>
      </c>
      <c r="E91" s="36" t="inlineStr">
        <is>
          <t>Acoustic</t>
        </is>
      </c>
      <c r="F91" s="12" t="inlineStr">
        <is>
          <t>I2S</t>
        </is>
      </c>
      <c r="G91" s="12" t="inlineStr">
        <is>
          <t>60 Hz - 15 kHz</t>
        </is>
      </c>
      <c r="H91" s="12" t="inlineStr">
        <is>
          <t>Uncalibrated (no absolute SPL)</t>
        </is>
      </c>
      <c r="I91" s="12" t="inlineStr">
        <is>
          <t>Standoff</t>
        </is>
      </c>
      <c r="J91" s="39" t="inlineStr">
        <is>
          <t>● raw A/V</t>
        </is>
      </c>
      <c r="K91" s="12" t="inlineStr">
        <is>
          <t>1.4mA</t>
        </is>
      </c>
      <c r="L91" s="29" t="n">
        <v>3</v>
      </c>
      <c r="M91" s="29" t="inlineStr">
        <is>
          <t>$</t>
        </is>
      </c>
      <c r="N91" s="29" t="n">
        <v>2</v>
      </c>
      <c r="O91" s="12" t="inlineStr"/>
      <c r="P91" s="12" t="inlineStr">
        <is>
          <t>Active</t>
        </is>
      </c>
      <c r="Q91" s="12" t="inlineStr">
        <is>
          <t>AE, AMZ</t>
        </is>
      </c>
      <c r="R91" s="12" t="inlineStr">
        <is>
          <t>Home, Play</t>
        </is>
      </c>
    </row>
    <row r="92" ht="28" customHeight="1">
      <c r="A92" s="25" t="inlineStr">
        <is>
          <t>S088</t>
        </is>
      </c>
      <c r="B92" s="26" t="inlineStr">
        <is>
          <t>ICS-43434 I2S mic</t>
        </is>
      </c>
      <c r="C92" s="12" t="inlineStr">
        <is>
          <t>Sound &amp; Audio</t>
        </is>
      </c>
      <c r="D92" s="12" t="inlineStr">
        <is>
          <t>Audio with flatter response than INMP441</t>
        </is>
      </c>
      <c r="E92" s="31" t="inlineStr"/>
      <c r="F92" s="12" t="inlineStr">
        <is>
          <t>I2S</t>
        </is>
      </c>
      <c r="G92" s="12" t="inlineStr"/>
      <c r="H92" s="12" t="inlineStr"/>
      <c r="I92" s="12" t="inlineStr"/>
      <c r="J92" s="12" t="inlineStr"/>
      <c r="K92" s="12" t="inlineStr">
        <is>
          <t>490µA</t>
        </is>
      </c>
      <c r="L92" s="29" t="n">
        <v>5</v>
      </c>
      <c r="M92" s="29" t="inlineStr">
        <is>
          <t>$$</t>
        </is>
      </c>
      <c r="N92" s="29" t="n">
        <v>2</v>
      </c>
      <c r="O92" s="12" t="inlineStr"/>
      <c r="P92" s="12" t="inlineStr"/>
      <c r="Q92" s="12" t="inlineStr">
        <is>
          <t>AE, DK, MO, PI</t>
        </is>
      </c>
      <c r="R92" s="12" t="inlineStr">
        <is>
          <t>Home, Safety</t>
        </is>
      </c>
    </row>
    <row r="93" ht="28" customHeight="1">
      <c r="A93" s="25" t="inlineStr">
        <is>
          <t>S089</t>
        </is>
      </c>
      <c r="B93" s="26" t="inlineStr">
        <is>
          <t>MAX9814 AGC mic amp</t>
        </is>
      </c>
      <c r="C93" s="12" t="inlineStr">
        <is>
          <t>Sound &amp; Audio</t>
        </is>
      </c>
      <c r="D93" s="12" t="inlineStr">
        <is>
          <t>Audio envelope/waveform with auto gain</t>
        </is>
      </c>
      <c r="E93" s="31" t="inlineStr"/>
      <c r="F93" s="12" t="inlineStr">
        <is>
          <t>Analog</t>
        </is>
      </c>
      <c r="G93" s="12" t="inlineStr"/>
      <c r="H93" s="12" t="inlineStr"/>
      <c r="I93" s="12" t="inlineStr"/>
      <c r="J93" s="12" t="inlineStr"/>
      <c r="K93" s="12" t="inlineStr">
        <is>
          <t>3mA</t>
        </is>
      </c>
      <c r="L93" s="29" t="n">
        <v>7</v>
      </c>
      <c r="M93" s="29" t="inlineStr">
        <is>
          <t>$$</t>
        </is>
      </c>
      <c r="N93" s="29" t="n">
        <v>1</v>
      </c>
      <c r="O93" s="12" t="inlineStr"/>
      <c r="P93" s="12" t="inlineStr"/>
      <c r="Q93" s="12" t="inlineStr">
        <is>
          <t>AF, AE, DK</t>
        </is>
      </c>
      <c r="R93" s="12" t="inlineStr">
        <is>
          <t>Play, Home</t>
        </is>
      </c>
    </row>
    <row r="94" ht="28" customHeight="1">
      <c r="A94" s="25" t="inlineStr">
        <is>
          <t>S090</t>
        </is>
      </c>
      <c r="B94" s="26" t="inlineStr">
        <is>
          <t>SPH0645 I2S mic</t>
        </is>
      </c>
      <c r="C94" s="12" t="inlineStr">
        <is>
          <t>Sound &amp; Audio</t>
        </is>
      </c>
      <c r="D94" s="12" t="inlineStr">
        <is>
          <t>Audio, bottom-port MEMS, I2S</t>
        </is>
      </c>
      <c r="E94" s="31" t="inlineStr"/>
      <c r="F94" s="12" t="inlineStr">
        <is>
          <t>I2S</t>
        </is>
      </c>
      <c r="G94" s="12" t="inlineStr"/>
      <c r="H94" s="12" t="inlineStr"/>
      <c r="I94" s="12" t="inlineStr"/>
      <c r="J94" s="12" t="inlineStr"/>
      <c r="K94" s="12" t="inlineStr">
        <is>
          <t>600µA</t>
        </is>
      </c>
      <c r="L94" s="29" t="n">
        <v>7</v>
      </c>
      <c r="M94" s="29" t="inlineStr">
        <is>
          <t>$$</t>
        </is>
      </c>
      <c r="N94" s="29" t="n">
        <v>2</v>
      </c>
      <c r="O94" s="12" t="inlineStr"/>
      <c r="P94" s="12" t="inlineStr"/>
      <c r="Q94" s="12" t="inlineStr">
        <is>
          <t>AF, DK, CE</t>
        </is>
      </c>
      <c r="R94" s="12" t="inlineStr">
        <is>
          <t>Play, Robots</t>
        </is>
      </c>
    </row>
    <row r="95" ht="28" customHeight="1">
      <c r="A95" s="25" t="inlineStr">
        <is>
          <t>S091</t>
        </is>
      </c>
      <c r="B95" s="26" t="inlineStr">
        <is>
          <t>Piezo contact mic / disc</t>
        </is>
      </c>
      <c r="C95" s="12" t="inlineStr">
        <is>
          <t>Sound &amp; Audio</t>
        </is>
      </c>
      <c r="D95" s="12" t="inlineStr">
        <is>
          <t>Vibration IN solid objects (structure-borne sound)</t>
        </is>
      </c>
      <c r="E95" s="36" t="inlineStr">
        <is>
          <t>Acoustic</t>
        </is>
      </c>
      <c r="F95" s="12" t="inlineStr">
        <is>
          <t>Analog</t>
        </is>
      </c>
      <c r="G95" s="12" t="inlineStr">
        <is>
          <t>Structure-borne vibration; highly mount-dependent</t>
        </is>
      </c>
      <c r="H95" s="12" t="inlineStr">
        <is>
          <t>Relative only</t>
        </is>
      </c>
      <c r="I95" s="12" t="inlineStr">
        <is>
          <t>Contact</t>
        </is>
      </c>
      <c r="J95" s="28" t="inlineStr">
        <is>
          <t>—</t>
        </is>
      </c>
      <c r="K95" s="12" t="inlineStr">
        <is>
          <t>0 (generates!)</t>
        </is>
      </c>
      <c r="L95" s="29" t="n">
        <v>0.5</v>
      </c>
      <c r="M95" s="29" t="inlineStr">
        <is>
          <t>$</t>
        </is>
      </c>
      <c r="N95" s="29" t="n">
        <v>2</v>
      </c>
      <c r="O95" s="12" t="inlineStr"/>
      <c r="P95" s="12" t="inlineStr">
        <is>
          <t>Active</t>
        </is>
      </c>
      <c r="Q95" s="12" t="inlineStr">
        <is>
          <t>AE, AMZ, SF, CE</t>
        </is>
      </c>
      <c r="R95" s="12" t="inlineStr">
        <is>
          <t>MachineHealth, Play</t>
        </is>
      </c>
    </row>
    <row r="96" ht="28" customHeight="1">
      <c r="A96" s="25" t="inlineStr">
        <is>
          <t>S092</t>
        </is>
      </c>
      <c r="B96" s="26" t="inlineStr">
        <is>
          <t>DFRobot dB meter</t>
        </is>
      </c>
      <c r="C96" s="12" t="inlineStr">
        <is>
          <t>Sound &amp; Audio</t>
        </is>
      </c>
      <c r="D96" s="12" t="inlineStr">
        <is>
          <t>Sound pressure level 30-130 dB(A), factory calibrated</t>
        </is>
      </c>
      <c r="E96" s="31" t="inlineStr"/>
      <c r="F96" s="12" t="inlineStr">
        <is>
          <t>Analog</t>
        </is>
      </c>
      <c r="G96" s="12" t="inlineStr"/>
      <c r="H96" s="12" t="inlineStr"/>
      <c r="I96" s="12" t="inlineStr"/>
      <c r="J96" s="12" t="inlineStr"/>
      <c r="K96" s="12" t="inlineStr">
        <is>
          <t>22mA</t>
        </is>
      </c>
      <c r="L96" s="29" t="n">
        <v>37</v>
      </c>
      <c r="M96" s="29" t="inlineStr">
        <is>
          <t>$$$</t>
        </is>
      </c>
      <c r="N96" s="29" t="n">
        <v>1</v>
      </c>
      <c r="O96" s="12" t="inlineStr"/>
      <c r="P96" s="12" t="inlineStr"/>
      <c r="Q96" s="12" t="inlineStr">
        <is>
          <t>DFR, DK, MO</t>
        </is>
      </c>
      <c r="R96" s="12" t="inlineStr">
        <is>
          <t>Health, Home</t>
        </is>
      </c>
    </row>
    <row r="97" ht="28" customHeight="1">
      <c r="A97" s="25" t="inlineStr">
        <is>
          <t>S093</t>
        </is>
      </c>
      <c r="B97" s="26" t="inlineStr">
        <is>
          <t>Ultrasonic mic experiments</t>
        </is>
      </c>
      <c r="C97" s="12" t="inlineStr">
        <is>
          <t>Sound &amp; Audio</t>
        </is>
      </c>
      <c r="D97" s="12" t="inlineStr">
        <is>
          <t>Ultrasound 20-80kHz+ (bat calls, leaks, corona)</t>
        </is>
      </c>
      <c r="E97" s="31" t="inlineStr"/>
      <c r="F97" s="12" t="inlineStr">
        <is>
          <t>Analog</t>
        </is>
      </c>
      <c r="G97" s="12" t="inlineStr"/>
      <c r="H97" s="12" t="inlineStr"/>
      <c r="I97" s="12" t="inlineStr"/>
      <c r="J97" s="12" t="inlineStr"/>
      <c r="K97" s="12" t="inlineStr">
        <is>
          <t>&lt;1mA</t>
        </is>
      </c>
      <c r="L97" s="29" t="n">
        <v>6</v>
      </c>
      <c r="M97" s="29" t="inlineStr">
        <is>
          <t>$$</t>
        </is>
      </c>
      <c r="N97" s="29" t="n">
        <v>4</v>
      </c>
      <c r="O97" s="12" t="inlineStr"/>
      <c r="P97" s="12" t="inlineStr"/>
      <c r="Q97" s="12" t="inlineStr">
        <is>
          <t>DK, MO, AE</t>
        </is>
      </c>
      <c r="R97" s="12" t="inlineStr">
        <is>
          <t>Wild, Invisible</t>
        </is>
      </c>
    </row>
    <row r="98" ht="28" customHeight="1">
      <c r="A98" s="25" t="inlineStr">
        <is>
          <t>S094</t>
        </is>
      </c>
      <c r="B98" s="26" t="inlineStr">
        <is>
          <t>SW-420 vibration switch</t>
        </is>
      </c>
      <c r="C98" s="12" t="inlineStr">
        <is>
          <t>Motion &amp; Vibration</t>
        </is>
      </c>
      <c r="D98" s="12" t="inlineStr">
        <is>
          <t>Vibration above a crude threshold (on/off)</t>
        </is>
      </c>
      <c r="E98" s="31" t="inlineStr"/>
      <c r="F98" s="12" t="inlineStr">
        <is>
          <t>Digital</t>
        </is>
      </c>
      <c r="G98" s="12" t="inlineStr"/>
      <c r="H98" s="12" t="inlineStr"/>
      <c r="I98" s="12" t="inlineStr"/>
      <c r="J98" s="12" t="inlineStr"/>
      <c r="K98" s="12" t="inlineStr">
        <is>
          <t>&lt;5mA</t>
        </is>
      </c>
      <c r="L98" s="29" t="n">
        <v>1</v>
      </c>
      <c r="M98" s="29" t="inlineStr">
        <is>
          <t>$</t>
        </is>
      </c>
      <c r="N98" s="29" t="n">
        <v>1</v>
      </c>
      <c r="O98" s="12" t="inlineStr"/>
      <c r="P98" s="12" t="inlineStr"/>
      <c r="Q98" s="12" t="inlineStr">
        <is>
          <t>AE, AMZ, DFR</t>
        </is>
      </c>
      <c r="R98" s="12" t="inlineStr">
        <is>
          <t>MachineHealth, Safety, Home</t>
        </is>
      </c>
    </row>
    <row r="99" ht="28" customHeight="1">
      <c r="A99" s="25" t="inlineStr">
        <is>
          <t>S095</t>
        </is>
      </c>
      <c r="B99" s="26" t="inlineStr">
        <is>
          <t>801S vibration sensor</t>
        </is>
      </c>
      <c r="C99" s="12" t="inlineStr">
        <is>
          <t>Motion &amp; Vibration</t>
        </is>
      </c>
      <c r="D99" s="12" t="inlineStr">
        <is>
          <t>Vibration intensity (analog) at higher sensitivity</t>
        </is>
      </c>
      <c r="E99" s="31" t="inlineStr"/>
      <c r="F99" s="12" t="inlineStr">
        <is>
          <t>Analog/Digital</t>
        </is>
      </c>
      <c r="G99" s="12" t="inlineStr"/>
      <c r="H99" s="12" t="inlineStr"/>
      <c r="I99" s="12" t="inlineStr"/>
      <c r="J99" s="12" t="inlineStr"/>
      <c r="K99" s="12" t="inlineStr">
        <is>
          <t>&lt;5mA</t>
        </is>
      </c>
      <c r="L99" s="29" t="n">
        <v>3</v>
      </c>
      <c r="M99" s="29" t="inlineStr">
        <is>
          <t>$</t>
        </is>
      </c>
      <c r="N99" s="29" t="n">
        <v>1</v>
      </c>
      <c r="O99" s="12" t="inlineStr"/>
      <c r="P99" s="12" t="inlineStr"/>
      <c r="Q99" s="12" t="inlineStr">
        <is>
          <t>AE, AMZ</t>
        </is>
      </c>
      <c r="R99" s="12" t="inlineStr">
        <is>
          <t>MachineHealth, Home, Energy</t>
        </is>
      </c>
    </row>
    <row r="100" ht="28" customHeight="1">
      <c r="A100" s="25" t="inlineStr">
        <is>
          <t>S096</t>
        </is>
      </c>
      <c r="B100" s="26" t="inlineStr">
        <is>
          <t>Geophone SM-24</t>
        </is>
      </c>
      <c r="C100" s="12" t="inlineStr">
        <is>
          <t>Motion &amp; Vibration</t>
        </is>
      </c>
      <c r="D100" s="12" t="inlineStr">
        <is>
          <t>Ground velocity — footsteps, vehicles, earthquakes</t>
        </is>
      </c>
      <c r="E100" s="31" t="inlineStr"/>
      <c r="F100" s="12" t="inlineStr">
        <is>
          <t>Analog</t>
        </is>
      </c>
      <c r="G100" s="12" t="inlineStr"/>
      <c r="H100" s="12" t="inlineStr"/>
      <c r="I100" s="12" t="inlineStr"/>
      <c r="J100" s="12" t="inlineStr"/>
      <c r="K100" s="12" t="inlineStr">
        <is>
          <t>0 (generates)</t>
        </is>
      </c>
      <c r="L100" s="29" t="n">
        <v>30</v>
      </c>
      <c r="M100" s="29" t="inlineStr">
        <is>
          <t>$$$</t>
        </is>
      </c>
      <c r="N100" s="29" t="n">
        <v>4</v>
      </c>
      <c r="O100" s="12" t="inlineStr"/>
      <c r="P100" s="12" t="inlineStr"/>
      <c r="Q100" s="12" t="inlineStr">
        <is>
          <t>SF, DK, MO</t>
        </is>
      </c>
      <c r="R100" s="12" t="inlineStr">
        <is>
          <t>Wild, Safety, Invisible</t>
        </is>
      </c>
    </row>
    <row r="101" ht="28" customHeight="1">
      <c r="A101" s="25" t="inlineStr">
        <is>
          <t>S097</t>
        </is>
      </c>
      <c r="B101" s="26" t="inlineStr">
        <is>
          <t>Piezo shock/knock element</t>
        </is>
      </c>
      <c r="C101" s="12" t="inlineStr">
        <is>
          <t>Motion &amp; Vibration</t>
        </is>
      </c>
      <c r="D101" s="12" t="inlineStr">
        <is>
          <t>Flex, shock, and vibration as voltage spikes</t>
        </is>
      </c>
      <c r="E101" s="31" t="inlineStr"/>
      <c r="F101" s="12" t="inlineStr">
        <is>
          <t>Analog</t>
        </is>
      </c>
      <c r="G101" s="12" t="inlineStr"/>
      <c r="H101" s="12" t="inlineStr"/>
      <c r="I101" s="12" t="inlineStr"/>
      <c r="J101" s="12" t="inlineStr"/>
      <c r="K101" s="12" t="inlineStr">
        <is>
          <t>0</t>
        </is>
      </c>
      <c r="L101" s="29" t="n">
        <v>3</v>
      </c>
      <c r="M101" s="29" t="inlineStr">
        <is>
          <t>$</t>
        </is>
      </c>
      <c r="N101" s="29" t="n">
        <v>2</v>
      </c>
      <c r="O101" s="12" t="inlineStr"/>
      <c r="P101" s="12" t="inlineStr"/>
      <c r="Q101" s="12" t="inlineStr">
        <is>
          <t>DK, MO, SF</t>
        </is>
      </c>
      <c r="R101" s="12" t="inlineStr">
        <is>
          <t>Play, Safety</t>
        </is>
      </c>
    </row>
    <row r="102" ht="28" customHeight="1">
      <c r="A102" s="25" t="inlineStr">
        <is>
          <t>S098</t>
        </is>
      </c>
      <c r="B102" s="26" t="inlineStr">
        <is>
          <t>HX711 + load cell</t>
        </is>
      </c>
      <c r="C102" s="12" t="inlineStr">
        <is>
          <t>Force &amp; Weight</t>
        </is>
      </c>
      <c r="D102" s="12" t="inlineStr">
        <is>
          <t>Weight/force from grams to hundreds of kg</t>
        </is>
      </c>
      <c r="E102" s="34" t="inlineStr">
        <is>
          <t>Mechanical</t>
        </is>
      </c>
      <c r="F102" s="12" t="inlineStr">
        <is>
          <t>UART</t>
        </is>
      </c>
      <c r="G102" s="12" t="inlineStr">
        <is>
          <t>1 g to hundreds of kg depending on the cell</t>
        </is>
      </c>
      <c r="H102" s="12" t="inlineStr">
        <is>
          <t>0.05% of full scale, at best</t>
        </is>
      </c>
      <c r="I102" s="12" t="inlineStr">
        <is>
          <t>Contact</t>
        </is>
      </c>
      <c r="J102" s="28" t="inlineStr">
        <is>
          <t>—</t>
        </is>
      </c>
      <c r="K102" s="12" t="inlineStr">
        <is>
          <t>1.5mA (sleep 1µA)</t>
        </is>
      </c>
      <c r="L102" s="29" t="n">
        <v>5</v>
      </c>
      <c r="M102" s="29" t="inlineStr">
        <is>
          <t>$$</t>
        </is>
      </c>
      <c r="N102" s="29" t="n">
        <v>2</v>
      </c>
      <c r="O102" s="12" t="inlineStr"/>
      <c r="P102" s="12" t="inlineStr">
        <is>
          <t>Active</t>
        </is>
      </c>
      <c r="Q102" s="12" t="inlineStr">
        <is>
          <t>AE, SF, AMZ, DFR, CE</t>
        </is>
      </c>
      <c r="R102" s="12" t="inlineStr">
        <is>
          <t>Home, Grow, MachineHealth</t>
        </is>
      </c>
    </row>
    <row r="103" ht="28" customHeight="1">
      <c r="A103" s="25" t="inlineStr">
        <is>
          <t>S099</t>
        </is>
      </c>
      <c r="B103" s="26" t="inlineStr">
        <is>
          <t>FSR402 force resistor</t>
        </is>
      </c>
      <c r="C103" s="12" t="inlineStr">
        <is>
          <t>Force &amp; Weight</t>
        </is>
      </c>
      <c r="D103" s="12" t="inlineStr">
        <is>
          <t>Press force 0.1-10N (qualitative)</t>
        </is>
      </c>
      <c r="E103" s="31" t="inlineStr"/>
      <c r="F103" s="12" t="inlineStr">
        <is>
          <t>Analog</t>
        </is>
      </c>
      <c r="G103" s="12" t="inlineStr"/>
      <c r="H103" s="12" t="inlineStr"/>
      <c r="I103" s="12" t="inlineStr"/>
      <c r="J103" s="12" t="inlineStr"/>
      <c r="K103" s="12" t="inlineStr">
        <is>
          <t>divider µA</t>
        </is>
      </c>
      <c r="L103" s="29" t="n">
        <v>7</v>
      </c>
      <c r="M103" s="29" t="inlineStr">
        <is>
          <t>$$</t>
        </is>
      </c>
      <c r="N103" s="29" t="n">
        <v>1</v>
      </c>
      <c r="O103" s="12" t="inlineStr"/>
      <c r="P103" s="12" t="inlineStr"/>
      <c r="Q103" s="12" t="inlineStr">
        <is>
          <t>AF, SF, DK, CE</t>
        </is>
      </c>
      <c r="R103" s="12" t="inlineStr">
        <is>
          <t>Health, Home</t>
        </is>
      </c>
    </row>
    <row r="104" ht="28" customHeight="1">
      <c r="A104" s="25" t="inlineStr">
        <is>
          <t>S100</t>
        </is>
      </c>
      <c r="B104" s="26" t="inlineStr">
        <is>
          <t>Velostat pressure sheets</t>
        </is>
      </c>
      <c r="C104" s="12" t="inlineStr">
        <is>
          <t>Force &amp; Weight</t>
        </is>
      </c>
      <c r="D104" s="12" t="inlineStr">
        <is>
          <t>Pressure maps over large DIY areas</t>
        </is>
      </c>
      <c r="E104" s="31" t="inlineStr"/>
      <c r="F104" s="12" t="inlineStr">
        <is>
          <t>Analog</t>
        </is>
      </c>
      <c r="G104" s="12" t="inlineStr"/>
      <c r="H104" s="12" t="inlineStr"/>
      <c r="I104" s="12" t="inlineStr"/>
      <c r="J104" s="12" t="inlineStr"/>
      <c r="K104" s="12" t="inlineStr">
        <is>
          <t>scan dependent</t>
        </is>
      </c>
      <c r="L104" s="29" t="n">
        <v>5</v>
      </c>
      <c r="M104" s="29" t="inlineStr">
        <is>
          <t>$$</t>
        </is>
      </c>
      <c r="N104" s="29" t="n">
        <v>4</v>
      </c>
      <c r="O104" s="12" t="inlineStr"/>
      <c r="P104" s="12" t="inlineStr"/>
      <c r="Q104" s="12" t="inlineStr">
        <is>
          <t>AF, AE</t>
        </is>
      </c>
      <c r="R104" s="12" t="inlineStr">
        <is>
          <t>Health, Play</t>
        </is>
      </c>
    </row>
    <row r="105" ht="28" customHeight="1">
      <c r="A105" s="25" t="inlineStr">
        <is>
          <t>S101</t>
        </is>
      </c>
      <c r="B105" s="26" t="inlineStr">
        <is>
          <t>Strain gauge + amp</t>
        </is>
      </c>
      <c r="C105" s="12" t="inlineStr">
        <is>
          <t>Force &amp; Weight</t>
        </is>
      </c>
      <c r="D105" s="12" t="inlineStr">
        <is>
          <t>Micro-deformation of structures (µε)</t>
        </is>
      </c>
      <c r="E105" s="31" t="inlineStr"/>
      <c r="F105" s="12" t="inlineStr">
        <is>
          <t>Analog</t>
        </is>
      </c>
      <c r="G105" s="12" t="inlineStr"/>
      <c r="H105" s="12" t="inlineStr"/>
      <c r="I105" s="12" t="inlineStr"/>
      <c r="J105" s="12" t="inlineStr"/>
      <c r="K105" s="12" t="inlineStr">
        <is>
          <t>bridge mA</t>
        </is>
      </c>
      <c r="L105" s="29" t="n">
        <v>4</v>
      </c>
      <c r="M105" s="29" t="inlineStr">
        <is>
          <t>$</t>
        </is>
      </c>
      <c r="N105" s="29" t="n">
        <v>4</v>
      </c>
      <c r="O105" s="12" t="inlineStr"/>
      <c r="P105" s="12" t="inlineStr"/>
      <c r="Q105" s="12" t="inlineStr">
        <is>
          <t>AE, DK, MO</t>
        </is>
      </c>
      <c r="R105" s="12" t="inlineStr">
        <is>
          <t>MachineHealth, Play</t>
        </is>
      </c>
    </row>
    <row r="106" ht="28" customHeight="1">
      <c r="A106" s="25" t="inlineStr">
        <is>
          <t>S102</t>
        </is>
      </c>
      <c r="B106" s="26" t="inlineStr">
        <is>
          <t>Nano33-style 1kg beam scale kit</t>
        </is>
      </c>
      <c r="C106" s="12" t="inlineStr">
        <is>
          <t>Force &amp; Weight</t>
        </is>
      </c>
      <c r="D106" s="12" t="inlineStr">
        <is>
          <t>Small forces 100g-1kg with lab-ish precision</t>
        </is>
      </c>
      <c r="E106" s="31" t="inlineStr"/>
      <c r="F106" s="12" t="inlineStr">
        <is>
          <t>Analog</t>
        </is>
      </c>
      <c r="G106" s="12" t="inlineStr"/>
      <c r="H106" s="12" t="inlineStr"/>
      <c r="I106" s="12" t="inlineStr"/>
      <c r="J106" s="12" t="inlineStr"/>
      <c r="K106" s="12" t="inlineStr">
        <is>
          <t>1.5mA</t>
        </is>
      </c>
      <c r="L106" s="29" t="n">
        <v>8</v>
      </c>
      <c r="M106" s="29" t="inlineStr">
        <is>
          <t>$$</t>
        </is>
      </c>
      <c r="N106" s="29" t="n">
        <v>2</v>
      </c>
      <c r="O106" s="12" t="inlineStr"/>
      <c r="P106" s="12" t="inlineStr"/>
      <c r="Q106" s="12" t="inlineStr">
        <is>
          <t>SF, DK, AE</t>
        </is>
      </c>
      <c r="R106" s="12" t="inlineStr">
        <is>
          <t>Play, Grow, Health</t>
        </is>
      </c>
    </row>
    <row r="107" ht="28" customHeight="1">
      <c r="A107" s="25" t="inlineStr">
        <is>
          <t>S103</t>
        </is>
      </c>
      <c r="B107" s="26" t="inlineStr">
        <is>
          <t>Capacitive liquid/force FDC1004</t>
        </is>
      </c>
      <c r="C107" s="12" t="inlineStr">
        <is>
          <t>Force &amp; Weight</t>
        </is>
      </c>
      <c r="D107" s="12" t="inlineStr">
        <is>
          <t>Capacitance changes — liquid level through walls, proximity, touch-force</t>
        </is>
      </c>
      <c r="E107" s="31" t="inlineStr"/>
      <c r="F107" s="12" t="inlineStr">
        <is>
          <t>I2C</t>
        </is>
      </c>
      <c r="G107" s="12" t="inlineStr"/>
      <c r="H107" s="12" t="inlineStr"/>
      <c r="I107" s="12" t="inlineStr"/>
      <c r="J107" s="12" t="inlineStr"/>
      <c r="K107" s="12" t="inlineStr">
        <is>
          <t>750µA</t>
        </is>
      </c>
      <c r="L107" s="29" t="n">
        <v>9</v>
      </c>
      <c r="M107" s="29" t="inlineStr">
        <is>
          <t>$$</t>
        </is>
      </c>
      <c r="N107" s="29" t="n">
        <v>3</v>
      </c>
      <c r="O107" s="12" t="inlineStr"/>
      <c r="P107" s="12" t="inlineStr"/>
      <c r="Q107" s="12" t="inlineStr">
        <is>
          <t>DK, MO, AE</t>
        </is>
      </c>
      <c r="R107" s="12" t="inlineStr">
        <is>
          <t>Water, Invisible, Home</t>
        </is>
      </c>
    </row>
    <row r="108" ht="28" customHeight="1">
      <c r="A108" s="25" t="inlineStr">
        <is>
          <t>S104</t>
        </is>
      </c>
      <c r="B108" s="26" t="inlineStr">
        <is>
          <t>MPR121 12-pad cap touch</t>
        </is>
      </c>
      <c r="C108" s="12" t="inlineStr">
        <is>
          <t>Touch &amp; Capacitive</t>
        </is>
      </c>
      <c r="D108" s="12" t="inlineStr">
        <is>
          <t>Touch on 12 electrodes (anything conductive)</t>
        </is>
      </c>
      <c r="E108" s="40" t="inlineStr">
        <is>
          <t>Electrical</t>
        </is>
      </c>
      <c r="F108" s="12" t="inlineStr">
        <is>
          <t>I2C</t>
        </is>
      </c>
      <c r="G108" s="12" t="inlineStr">
        <is>
          <t>12 electrodes, through up to ~5 mm of non-conductive material</t>
        </is>
      </c>
      <c r="H108" s="12" t="inlineStr"/>
      <c r="I108" s="12" t="inlineStr">
        <is>
          <t>Through-barrier</t>
        </is>
      </c>
      <c r="J108" s="28" t="inlineStr">
        <is>
          <t>—</t>
        </is>
      </c>
      <c r="K108" s="12" t="inlineStr">
        <is>
          <t>29µA</t>
        </is>
      </c>
      <c r="L108" s="29" t="n">
        <v>6</v>
      </c>
      <c r="M108" s="29" t="inlineStr">
        <is>
          <t>$$</t>
        </is>
      </c>
      <c r="N108" s="29" t="n">
        <v>1</v>
      </c>
      <c r="O108" s="12" t="inlineStr"/>
      <c r="P108" s="12" t="inlineStr">
        <is>
          <t>Active</t>
        </is>
      </c>
      <c r="Q108" s="12" t="inlineStr">
        <is>
          <t>AF, SF, AE, DK</t>
        </is>
      </c>
      <c r="R108" s="12" t="inlineStr">
        <is>
          <t>Play, Home</t>
        </is>
      </c>
    </row>
    <row r="109" ht="28" customHeight="1">
      <c r="A109" s="25" t="inlineStr">
        <is>
          <t>S105</t>
        </is>
      </c>
      <c r="B109" s="26" t="inlineStr">
        <is>
          <t>TTP223 single touch</t>
        </is>
      </c>
      <c r="C109" s="12" t="inlineStr">
        <is>
          <t>Touch &amp; Capacitive</t>
        </is>
      </c>
      <c r="D109" s="12" t="inlineStr">
        <is>
          <t>One capacitive touch point</t>
        </is>
      </c>
      <c r="E109" s="31" t="inlineStr"/>
      <c r="F109" s="12" t="inlineStr">
        <is>
          <t>Digital</t>
        </is>
      </c>
      <c r="G109" s="12" t="inlineStr"/>
      <c r="H109" s="12" t="inlineStr"/>
      <c r="I109" s="12" t="inlineStr"/>
      <c r="J109" s="12" t="inlineStr"/>
      <c r="K109" s="12" t="inlineStr">
        <is>
          <t>1.5-9µA</t>
        </is>
      </c>
      <c r="L109" s="29" t="n">
        <v>0.5</v>
      </c>
      <c r="M109" s="29" t="inlineStr">
        <is>
          <t>$</t>
        </is>
      </c>
      <c r="N109" s="29" t="n">
        <v>1</v>
      </c>
      <c r="O109" s="12" t="inlineStr"/>
      <c r="P109" s="12" t="inlineStr"/>
      <c r="Q109" s="12" t="inlineStr">
        <is>
          <t>AE, AMZ, DFR</t>
        </is>
      </c>
      <c r="R109" s="12" t="inlineStr">
        <is>
          <t>Home, Play</t>
        </is>
      </c>
    </row>
    <row r="110" ht="28" customHeight="1">
      <c r="A110" s="25" t="inlineStr">
        <is>
          <t>S106</t>
        </is>
      </c>
      <c r="B110" s="26" t="inlineStr">
        <is>
          <t>ESP32 native touch pins</t>
        </is>
      </c>
      <c r="C110" s="12" t="inlineStr">
        <is>
          <t>Touch &amp; Capacitive</t>
        </is>
      </c>
      <c r="D110" s="12" t="inlineStr">
        <is>
          <t>Up to 10 capacitive touch channels with NO extra hardware</t>
        </is>
      </c>
      <c r="E110" s="40" t="inlineStr">
        <is>
          <t>Electrical</t>
        </is>
      </c>
      <c r="F110" s="12" t="inlineStr">
        <is>
          <t>Builtin</t>
        </is>
      </c>
      <c r="G110" s="12" t="inlineStr">
        <is>
          <t>Up to 10 channels on supported variants</t>
        </is>
      </c>
      <c r="H110" s="12" t="inlineStr"/>
      <c r="I110" s="12" t="inlineStr">
        <is>
          <t>Through-barrier</t>
        </is>
      </c>
      <c r="J110" s="28" t="inlineStr">
        <is>
          <t>—</t>
        </is>
      </c>
      <c r="K110" s="12" t="inlineStr">
        <is>
          <t>touch wake ~µA</t>
        </is>
      </c>
      <c r="L110" s="29" t="n">
        <v>0</v>
      </c>
      <c r="M110" s="29" t="inlineStr">
        <is>
          <t>free</t>
        </is>
      </c>
      <c r="N110" s="29" t="n">
        <v>1</v>
      </c>
      <c r="O110" s="12" t="inlineStr"/>
      <c r="P110" s="12" t="inlineStr">
        <is>
          <t>Active</t>
        </is>
      </c>
      <c r="Q110" s="12" t="inlineStr">
        <is>
          <t>INC</t>
        </is>
      </c>
      <c r="R110" s="12" t="inlineStr">
        <is>
          <t>Energy, Play</t>
        </is>
      </c>
    </row>
    <row r="111" ht="28" customHeight="1">
      <c r="A111" s="25" t="inlineStr">
        <is>
          <t>S107</t>
        </is>
      </c>
      <c r="B111" s="26" t="inlineStr">
        <is>
          <t>Trill flexible touch sliders</t>
        </is>
      </c>
      <c r="C111" s="12" t="inlineStr">
        <is>
          <t>Touch &amp; Capacitive</t>
        </is>
      </c>
      <c r="D111" s="12" t="inlineStr">
        <is>
          <t>Finger POSITION (not just presence) on slider/2D surfaces</t>
        </is>
      </c>
      <c r="E111" s="31" t="inlineStr"/>
      <c r="F111" s="12" t="inlineStr">
        <is>
          <t>I2C</t>
        </is>
      </c>
      <c r="G111" s="12" t="inlineStr"/>
      <c r="H111" s="12" t="inlineStr"/>
      <c r="I111" s="12" t="inlineStr"/>
      <c r="J111" s="12" t="inlineStr"/>
      <c r="K111" s="12" t="inlineStr">
        <is>
          <t>~5mA</t>
        </is>
      </c>
      <c r="L111" s="29" t="n">
        <v>20</v>
      </c>
      <c r="M111" s="29" t="inlineStr">
        <is>
          <t>$$$</t>
        </is>
      </c>
      <c r="N111" s="29" t="n">
        <v>2</v>
      </c>
      <c r="O111" s="12" t="inlineStr"/>
      <c r="P111" s="12" t="inlineStr"/>
      <c r="Q111" s="12" t="inlineStr">
        <is>
          <t>BL, DK, PI</t>
        </is>
      </c>
      <c r="R111" s="12" t="inlineStr">
        <is>
          <t>Play</t>
        </is>
      </c>
    </row>
    <row r="112" ht="28" customHeight="1">
      <c r="A112" s="25" t="inlineStr">
        <is>
          <t>S108</t>
        </is>
      </c>
      <c r="B112" s="26" t="inlineStr">
        <is>
          <t>Water level capacitive strip</t>
        </is>
      </c>
      <c r="C112" s="12" t="inlineStr">
        <is>
          <t>Touch &amp; Capacitive</t>
        </is>
      </c>
      <c r="D112" s="12" t="inlineStr">
        <is>
          <t>Liquid present at a point — through container walls</t>
        </is>
      </c>
      <c r="E112" s="31" t="inlineStr"/>
      <c r="F112" s="12" t="inlineStr">
        <is>
          <t>Digital</t>
        </is>
      </c>
      <c r="G112" s="12" t="inlineStr"/>
      <c r="H112" s="12" t="inlineStr"/>
      <c r="I112" s="12" t="inlineStr"/>
      <c r="J112" s="12" t="inlineStr"/>
      <c r="K112" s="12" t="inlineStr">
        <is>
          <t>5mA</t>
        </is>
      </c>
      <c r="L112" s="29" t="n">
        <v>7</v>
      </c>
      <c r="M112" s="29" t="inlineStr">
        <is>
          <t>$$</t>
        </is>
      </c>
      <c r="N112" s="29" t="n">
        <v>1</v>
      </c>
      <c r="O112" s="12" t="inlineStr"/>
      <c r="P112" s="12" t="inlineStr"/>
      <c r="Q112" s="12" t="inlineStr">
        <is>
          <t>AE, DFR, AMZ</t>
        </is>
      </c>
      <c r="R112" s="12" t="inlineStr">
        <is>
          <t>Water, Home, Grow</t>
        </is>
      </c>
    </row>
    <row r="113" ht="28" customHeight="1">
      <c r="A113" s="25" t="inlineStr">
        <is>
          <t>S109</t>
        </is>
      </c>
      <c r="B113" s="26" t="inlineStr">
        <is>
          <t>Flex sensor 2.2"</t>
        </is>
      </c>
      <c r="C113" s="12" t="inlineStr">
        <is>
          <t>Flex &amp; Stretch</t>
        </is>
      </c>
      <c r="D113" s="12" t="inlineStr">
        <is>
          <t>Bend angle 0-90°+ as resistance change</t>
        </is>
      </c>
      <c r="E113" s="31" t="inlineStr"/>
      <c r="F113" s="12" t="inlineStr">
        <is>
          <t>Analog</t>
        </is>
      </c>
      <c r="G113" s="12" t="inlineStr"/>
      <c r="H113" s="12" t="inlineStr"/>
      <c r="I113" s="12" t="inlineStr"/>
      <c r="J113" s="12" t="inlineStr"/>
      <c r="K113" s="12" t="inlineStr">
        <is>
          <t>divider µA</t>
        </is>
      </c>
      <c r="L113" s="29" t="n">
        <v>8</v>
      </c>
      <c r="M113" s="29" t="inlineStr">
        <is>
          <t>$$</t>
        </is>
      </c>
      <c r="N113" s="29" t="n">
        <v>1</v>
      </c>
      <c r="O113" s="12" t="inlineStr"/>
      <c r="P113" s="12" t="inlineStr"/>
      <c r="Q113" s="12" t="inlineStr">
        <is>
          <t>SF, AF, DK, CE</t>
        </is>
      </c>
      <c r="R113" s="12" t="inlineStr">
        <is>
          <t>Play</t>
        </is>
      </c>
    </row>
    <row r="114" ht="28" customHeight="1">
      <c r="A114" s="25" t="inlineStr">
        <is>
          <t>S110</t>
        </is>
      </c>
      <c r="B114" s="26" t="inlineStr">
        <is>
          <t>Conductive rubber stretch cord</t>
        </is>
      </c>
      <c r="C114" s="12" t="inlineStr">
        <is>
          <t>Flex &amp; Stretch</t>
        </is>
      </c>
      <c r="D114" s="12" t="inlineStr">
        <is>
          <t>Elongation — resistance rises ~stretch</t>
        </is>
      </c>
      <c r="E114" s="31" t="inlineStr"/>
      <c r="F114" s="12" t="inlineStr">
        <is>
          <t>Analog</t>
        </is>
      </c>
      <c r="G114" s="12" t="inlineStr"/>
      <c r="H114" s="12" t="inlineStr"/>
      <c r="I114" s="12" t="inlineStr"/>
      <c r="J114" s="12" t="inlineStr"/>
      <c r="K114" s="12" t="inlineStr">
        <is>
          <t>divider µA</t>
        </is>
      </c>
      <c r="L114" s="29" t="n">
        <v>10</v>
      </c>
      <c r="M114" s="29" t="inlineStr">
        <is>
          <t>$$</t>
        </is>
      </c>
      <c r="N114" s="29" t="n">
        <v>2</v>
      </c>
      <c r="O114" s="12" t="inlineStr"/>
      <c r="P114" s="12" t="inlineStr"/>
      <c r="Q114" s="12" t="inlineStr">
        <is>
          <t>AF, AE</t>
        </is>
      </c>
      <c r="R114" s="12" t="inlineStr">
        <is>
          <t>Health, Play</t>
        </is>
      </c>
    </row>
    <row r="115" ht="28" customHeight="1">
      <c r="A115" s="25" t="inlineStr">
        <is>
          <t>S111</t>
        </is>
      </c>
      <c r="B115" s="26" t="inlineStr">
        <is>
          <t>Bend Labs digital flex (1-axis)</t>
        </is>
      </c>
      <c r="C115" s="12" t="inlineStr">
        <is>
          <t>Flex &amp; Stretch</t>
        </is>
      </c>
      <c r="D115" s="12" t="inlineStr">
        <is>
          <t>True angular displacement ±0.5° digitally</t>
        </is>
      </c>
      <c r="E115" s="31" t="inlineStr"/>
      <c r="F115" s="12" t="inlineStr">
        <is>
          <t>I2C</t>
        </is>
      </c>
      <c r="G115" s="12" t="inlineStr"/>
      <c r="H115" s="12" t="inlineStr"/>
      <c r="I115" s="12" t="inlineStr"/>
      <c r="J115" s="12" t="inlineStr"/>
      <c r="K115" s="12" t="inlineStr">
        <is>
          <t>2mA</t>
        </is>
      </c>
      <c r="L115" s="29" t="n">
        <v>70</v>
      </c>
      <c r="M115" s="29" t="inlineStr">
        <is>
          <t>$$$$</t>
        </is>
      </c>
      <c r="N115" s="29" t="n">
        <v>2</v>
      </c>
      <c r="O115" s="12" t="inlineStr"/>
      <c r="P115" s="12" t="inlineStr"/>
      <c r="Q115" s="12" t="inlineStr">
        <is>
          <t>SF, DK</t>
        </is>
      </c>
      <c r="R115" s="12" t="inlineStr">
        <is>
          <t>Health, Robots</t>
        </is>
      </c>
    </row>
    <row r="116" ht="28" customHeight="1">
      <c r="A116" s="25" t="inlineStr">
        <is>
          <t>S112</t>
        </is>
      </c>
      <c r="B116" s="26" t="inlineStr">
        <is>
          <t>MAX30102 pulse oximeter</t>
        </is>
      </c>
      <c r="C116" s="12" t="inlineStr">
        <is>
          <t>Biometric &amp; Health</t>
        </is>
      </c>
      <c r="D116" s="12" t="inlineStr">
        <is>
          <t>Heart rate + blood oxygen (SpO2) from a fingertip</t>
        </is>
      </c>
      <c r="E116" s="41" t="inlineStr">
        <is>
          <t>Biological</t>
        </is>
      </c>
      <c r="F116" s="12" t="inlineStr">
        <is>
          <t>I2C</t>
        </is>
      </c>
      <c r="G116" s="12" t="inlineStr">
        <is>
          <t>HR 30-240 bpm; SpO2 nominally 70-100%</t>
        </is>
      </c>
      <c r="H116" s="12" t="inlineStr">
        <is>
          <t>HR good; SpO2 uncalibrated</t>
        </is>
      </c>
      <c r="I116" s="12" t="inlineStr">
        <is>
          <t>Contact</t>
        </is>
      </c>
      <c r="J116" s="42" t="inlineStr">
        <is>
          <t>◑ identifiable</t>
        </is>
      </c>
      <c r="K116" s="12" t="inlineStr">
        <is>
          <t>&lt;1mA typical duty</t>
        </is>
      </c>
      <c r="L116" s="29" t="n">
        <v>6</v>
      </c>
      <c r="M116" s="29" t="inlineStr">
        <is>
          <t>$$</t>
        </is>
      </c>
      <c r="N116" s="29" t="n">
        <v>2</v>
      </c>
      <c r="O116" s="12" t="inlineStr"/>
      <c r="P116" s="12" t="inlineStr">
        <is>
          <t>Active</t>
        </is>
      </c>
      <c r="Q116" s="12" t="inlineStr">
        <is>
          <t>AE, SF, DK, MO</t>
        </is>
      </c>
      <c r="R116" s="12" t="inlineStr">
        <is>
          <t>Health</t>
        </is>
      </c>
    </row>
    <row r="117" ht="28" customHeight="1">
      <c r="A117" s="25" t="inlineStr">
        <is>
          <t>S113</t>
        </is>
      </c>
      <c r="B117" s="26" t="inlineStr">
        <is>
          <t>AD8232 ECG front-end</t>
        </is>
      </c>
      <c r="C117" s="12" t="inlineStr">
        <is>
          <t>Biometric &amp; Health</t>
        </is>
      </c>
      <c r="D117" s="12" t="inlineStr">
        <is>
          <t>Heart's electrical waveform (single-lead ECG)</t>
        </is>
      </c>
      <c r="E117" s="31" t="inlineStr"/>
      <c r="F117" s="12" t="inlineStr">
        <is>
          <t>Analog</t>
        </is>
      </c>
      <c r="G117" s="12" t="inlineStr"/>
      <c r="H117" s="12" t="inlineStr"/>
      <c r="I117" s="12" t="inlineStr"/>
      <c r="J117" s="12" t="inlineStr"/>
      <c r="K117" s="12" t="inlineStr">
        <is>
          <t>170µA</t>
        </is>
      </c>
      <c r="L117" s="29" t="n">
        <v>10</v>
      </c>
      <c r="M117" s="29" t="inlineStr">
        <is>
          <t>$$</t>
        </is>
      </c>
      <c r="N117" s="29" t="n">
        <v>3</v>
      </c>
      <c r="O117" s="12" t="inlineStr"/>
      <c r="P117" s="12" t="inlineStr"/>
      <c r="Q117" s="12" t="inlineStr">
        <is>
          <t>SF, AE, DK, DFR</t>
        </is>
      </c>
      <c r="R117" s="12" t="inlineStr">
        <is>
          <t>Health, Play</t>
        </is>
      </c>
    </row>
    <row r="118" ht="28" customHeight="1">
      <c r="A118" s="25" t="inlineStr">
        <is>
          <t>S114</t>
        </is>
      </c>
      <c r="B118" s="26" t="inlineStr">
        <is>
          <t>MAX30205 clinical body temp</t>
        </is>
      </c>
      <c r="C118" s="12" t="inlineStr">
        <is>
          <t>Biometric &amp; Health</t>
        </is>
      </c>
      <c r="D118" s="12" t="inlineStr">
        <is>
          <t>Skin/body temperature to medical accuracy</t>
        </is>
      </c>
      <c r="E118" s="31" t="inlineStr"/>
      <c r="F118" s="12" t="inlineStr">
        <is>
          <t>I2C</t>
        </is>
      </c>
      <c r="G118" s="12" t="inlineStr"/>
      <c r="H118" s="12" t="inlineStr"/>
      <c r="I118" s="12" t="inlineStr"/>
      <c r="J118" s="12" t="inlineStr"/>
      <c r="K118" s="12" t="inlineStr">
        <is>
          <t>600µA</t>
        </is>
      </c>
      <c r="L118" s="29" t="n">
        <v>9</v>
      </c>
      <c r="M118" s="29" t="inlineStr">
        <is>
          <t>$$</t>
        </is>
      </c>
      <c r="N118" s="29" t="n">
        <v>1</v>
      </c>
      <c r="O118" s="12" t="inlineStr"/>
      <c r="P118" s="12" t="inlineStr"/>
      <c r="Q118" s="12" t="inlineStr">
        <is>
          <t>DK, MO, AE</t>
        </is>
      </c>
      <c r="R118" s="12" t="inlineStr">
        <is>
          <t>Health</t>
        </is>
      </c>
    </row>
    <row r="119" ht="28" customHeight="1">
      <c r="A119" s="25" t="inlineStr">
        <is>
          <t>S115</t>
        </is>
      </c>
      <c r="B119" s="26" t="inlineStr">
        <is>
          <t>MyoWare 2.0 EMG</t>
        </is>
      </c>
      <c r="C119" s="12" t="inlineStr">
        <is>
          <t>Biometric &amp; Health</t>
        </is>
      </c>
      <c r="D119" s="12" t="inlineStr">
        <is>
          <t>Muscle activation intensity (electromyography)</t>
        </is>
      </c>
      <c r="E119" s="31" t="inlineStr"/>
      <c r="F119" s="12" t="inlineStr">
        <is>
          <t>Analog</t>
        </is>
      </c>
      <c r="G119" s="12" t="inlineStr"/>
      <c r="H119" s="12" t="inlineStr"/>
      <c r="I119" s="12" t="inlineStr"/>
      <c r="J119" s="12" t="inlineStr"/>
      <c r="K119" s="12" t="inlineStr">
        <is>
          <t>14mA</t>
        </is>
      </c>
      <c r="L119" s="29" t="n">
        <v>40</v>
      </c>
      <c r="M119" s="29" t="inlineStr">
        <is>
          <t>$$$</t>
        </is>
      </c>
      <c r="N119" s="29" t="n">
        <v>3</v>
      </c>
      <c r="O119" s="12" t="inlineStr"/>
      <c r="P119" s="12" t="inlineStr"/>
      <c r="Q119" s="12" t="inlineStr">
        <is>
          <t>SF, DK, MO, CE</t>
        </is>
      </c>
      <c r="R119" s="12" t="inlineStr">
        <is>
          <t>Health, Robots</t>
        </is>
      </c>
    </row>
    <row r="120" ht="28" customHeight="1">
      <c r="A120" s="25" t="inlineStr">
        <is>
          <t>S116</t>
        </is>
      </c>
      <c r="B120" s="26" t="inlineStr">
        <is>
          <t>GSR / EDA sensor</t>
        </is>
      </c>
      <c r="C120" s="12" t="inlineStr">
        <is>
          <t>Biometric &amp; Health</t>
        </is>
      </c>
      <c r="D120" s="12" t="inlineStr">
        <is>
          <t>Emotional arousal via skin sweat conductance</t>
        </is>
      </c>
      <c r="E120" s="31" t="inlineStr"/>
      <c r="F120" s="12" t="inlineStr">
        <is>
          <t>Analog</t>
        </is>
      </c>
      <c r="G120" s="12" t="inlineStr"/>
      <c r="H120" s="12" t="inlineStr"/>
      <c r="I120" s="12" t="inlineStr"/>
      <c r="J120" s="12" t="inlineStr"/>
      <c r="K120" s="12" t="inlineStr">
        <is>
          <t>&lt;5mA</t>
        </is>
      </c>
      <c r="L120" s="29" t="n">
        <v>10</v>
      </c>
      <c r="M120" s="29" t="inlineStr">
        <is>
          <t>$$</t>
        </is>
      </c>
      <c r="N120" s="29" t="n">
        <v>2</v>
      </c>
      <c r="O120" s="12" t="inlineStr"/>
      <c r="P120" s="12" t="inlineStr"/>
      <c r="Q120" s="12" t="inlineStr">
        <is>
          <t>SS, AE</t>
        </is>
      </c>
      <c r="R120" s="12" t="inlineStr">
        <is>
          <t>Health, Play</t>
        </is>
      </c>
    </row>
    <row r="121" ht="28" customHeight="1">
      <c r="A121" s="25" t="inlineStr">
        <is>
          <t>S117</t>
        </is>
      </c>
      <c r="B121" s="26" t="inlineStr">
        <is>
          <t>MLX90614 forehead mode</t>
        </is>
      </c>
      <c r="C121" s="12" t="inlineStr">
        <is>
          <t>Biometric &amp; Health</t>
        </is>
      </c>
      <c r="D121" s="12" t="inlineStr">
        <is>
          <t>Body temp at 3-5cm without contact</t>
        </is>
      </c>
      <c r="E121" s="31" t="inlineStr"/>
      <c r="F121" s="12" t="inlineStr">
        <is>
          <t>I2C</t>
        </is>
      </c>
      <c r="G121" s="12" t="inlineStr"/>
      <c r="H121" s="12" t="inlineStr"/>
      <c r="I121" s="12" t="inlineStr"/>
      <c r="J121" s="12" t="inlineStr"/>
      <c r="K121" s="12" t="inlineStr">
        <is>
          <t>1.5mA</t>
        </is>
      </c>
      <c r="L121" s="29" t="n">
        <v>25</v>
      </c>
      <c r="M121" s="29" t="inlineStr">
        <is>
          <t>$$$</t>
        </is>
      </c>
      <c r="N121" s="29" t="n">
        <v>1</v>
      </c>
      <c r="O121" s="12" t="inlineStr"/>
      <c r="P121" s="12" t="inlineStr"/>
      <c r="Q121" s="12" t="inlineStr">
        <is>
          <t>DK, MO, AE</t>
        </is>
      </c>
      <c r="R121" s="12" t="inlineStr">
        <is>
          <t>Health, Home</t>
        </is>
      </c>
    </row>
    <row r="122" ht="28" customHeight="1">
      <c r="A122" s="25" t="inlineStr">
        <is>
          <t>S118</t>
        </is>
      </c>
      <c r="B122" s="26" t="inlineStr">
        <is>
          <t>Pulse sensor (PPG classic)</t>
        </is>
      </c>
      <c r="C122" s="12" t="inlineStr">
        <is>
          <t>Biometric &amp; Health</t>
        </is>
      </c>
      <c r="D122" s="12" t="inlineStr">
        <is>
          <t>Heart pulses (analog PPG wave)</t>
        </is>
      </c>
      <c r="E122" s="31" t="inlineStr"/>
      <c r="F122" s="12" t="inlineStr">
        <is>
          <t>Analog</t>
        </is>
      </c>
      <c r="G122" s="12" t="inlineStr"/>
      <c r="H122" s="12" t="inlineStr"/>
      <c r="I122" s="12" t="inlineStr"/>
      <c r="J122" s="12" t="inlineStr"/>
      <c r="K122" s="12" t="inlineStr">
        <is>
          <t>4mA</t>
        </is>
      </c>
      <c r="L122" s="29" t="n">
        <v>5</v>
      </c>
      <c r="M122" s="29" t="inlineStr">
        <is>
          <t>$$</t>
        </is>
      </c>
      <c r="N122" s="29" t="n">
        <v>1</v>
      </c>
      <c r="O122" s="12" t="inlineStr"/>
      <c r="P122" s="12" t="inlineStr"/>
      <c r="Q122" s="12" t="inlineStr">
        <is>
          <t>AE, SF, AMZ, DFR</t>
        </is>
      </c>
      <c r="R122" s="12" t="inlineStr">
        <is>
          <t>Health, Play</t>
        </is>
      </c>
    </row>
    <row r="123" ht="28" customHeight="1">
      <c r="A123" s="25" t="inlineStr">
        <is>
          <t>S119</t>
        </is>
      </c>
      <c r="B123" s="26" t="inlineStr">
        <is>
          <t>BioAmp EXG Pill</t>
        </is>
      </c>
      <c r="C123" s="12" t="inlineStr">
        <is>
          <t>Biometric &amp; Health</t>
        </is>
      </c>
      <c r="D123" s="12" t="inlineStr">
        <is>
          <t>ECG, EMG, EOG (eye movement), EEG-adjacent signals</t>
        </is>
      </c>
      <c r="E123" s="31" t="inlineStr"/>
      <c r="F123" s="12" t="inlineStr">
        <is>
          <t>Analog</t>
        </is>
      </c>
      <c r="G123" s="12" t="inlineStr"/>
      <c r="H123" s="12" t="inlineStr"/>
      <c r="I123" s="12" t="inlineStr"/>
      <c r="J123" s="12" t="inlineStr"/>
      <c r="K123" s="12" t="inlineStr">
        <is>
          <t>&lt;5mA</t>
        </is>
      </c>
      <c r="L123" s="29" t="n">
        <v>25</v>
      </c>
      <c r="M123" s="29" t="inlineStr">
        <is>
          <t>$$$</t>
        </is>
      </c>
      <c r="N123" s="29" t="n">
        <v>4</v>
      </c>
      <c r="O123" s="12" t="inlineStr"/>
      <c r="P123" s="12" t="inlineStr"/>
      <c r="Q123" s="12" t="inlineStr">
        <is>
          <t>UDL, AMZ</t>
        </is>
      </c>
      <c r="R123" s="12" t="inlineStr">
        <is>
          <t>Health, Robots</t>
        </is>
      </c>
    </row>
    <row r="124" ht="28" customHeight="1">
      <c r="A124" s="25" t="inlineStr">
        <is>
          <t>S120</t>
        </is>
      </c>
      <c r="B124" s="26" t="inlineStr">
        <is>
          <t>Fingerprint reader R503</t>
        </is>
      </c>
      <c r="C124" s="12" t="inlineStr">
        <is>
          <t>Identity &amp; Tags</t>
        </is>
      </c>
      <c r="D124" s="12" t="inlineStr">
        <is>
          <t>Fingerprint enrolment + 1:N matching onboard</t>
        </is>
      </c>
      <c r="E124" s="31" t="inlineStr"/>
      <c r="F124" s="12" t="inlineStr">
        <is>
          <t>UART</t>
        </is>
      </c>
      <c r="G124" s="12" t="inlineStr"/>
      <c r="H124" s="12" t="inlineStr"/>
      <c r="I124" s="12" t="inlineStr"/>
      <c r="J124" s="12" t="inlineStr"/>
      <c r="K124" s="12" t="inlineStr">
        <is>
          <t>20mA (touch-wake ring)</t>
        </is>
      </c>
      <c r="L124" s="29" t="n">
        <v>20</v>
      </c>
      <c r="M124" s="29" t="inlineStr">
        <is>
          <t>$$$</t>
        </is>
      </c>
      <c r="N124" s="29" t="n">
        <v>2</v>
      </c>
      <c r="O124" s="12" t="inlineStr"/>
      <c r="P124" s="12" t="inlineStr"/>
      <c r="Q124" s="12" t="inlineStr">
        <is>
          <t>AE, SF, DFR</t>
        </is>
      </c>
      <c r="R124" s="12" t="inlineStr">
        <is>
          <t>Safety, Home, MachineHealth</t>
        </is>
      </c>
    </row>
    <row r="125" ht="28" customHeight="1">
      <c r="A125" s="25" t="inlineStr">
        <is>
          <t>S121</t>
        </is>
      </c>
      <c r="B125" s="26" t="inlineStr">
        <is>
          <t>Anemometer cup sensor</t>
        </is>
      </c>
      <c r="C125" s="12" t="inlineStr">
        <is>
          <t>Weather &amp; Outdoor</t>
        </is>
      </c>
      <c r="D125" s="12" t="inlineStr">
        <is>
          <t>Wind speed via rotating cups</t>
        </is>
      </c>
      <c r="E125" s="31" t="inlineStr"/>
      <c r="F125" s="12" t="inlineStr">
        <is>
          <t>Pulse</t>
        </is>
      </c>
      <c r="G125" s="12" t="inlineStr"/>
      <c r="H125" s="12" t="inlineStr"/>
      <c r="I125" s="12" t="inlineStr"/>
      <c r="J125" s="12" t="inlineStr"/>
      <c r="K125" s="12" t="inlineStr">
        <is>
          <t>0</t>
        </is>
      </c>
      <c r="L125" s="29" t="n">
        <v>12</v>
      </c>
      <c r="M125" s="29" t="inlineStr">
        <is>
          <t>$$</t>
        </is>
      </c>
      <c r="N125" s="29" t="n">
        <v>1</v>
      </c>
      <c r="O125" s="12" t="inlineStr"/>
      <c r="P125" s="12" t="inlineStr"/>
      <c r="Q125" s="12" t="inlineStr">
        <is>
          <t>AE, SF, AMZ, DFR</t>
        </is>
      </c>
      <c r="R125" s="12" t="inlineStr">
        <is>
          <t>Wild, Home, Safety</t>
        </is>
      </c>
    </row>
    <row r="126" ht="28" customHeight="1">
      <c r="A126" s="25" t="inlineStr">
        <is>
          <t>S122</t>
        </is>
      </c>
      <c r="B126" s="26" t="inlineStr">
        <is>
          <t>Wind vane</t>
        </is>
      </c>
      <c r="C126" s="12" t="inlineStr">
        <is>
          <t>Weather &amp; Outdoor</t>
        </is>
      </c>
      <c r="D126" s="12" t="inlineStr">
        <is>
          <t>Wind direction (16 compass points)</t>
        </is>
      </c>
      <c r="E126" s="31" t="inlineStr"/>
      <c r="F126" s="12" t="inlineStr">
        <is>
          <t>Analog</t>
        </is>
      </c>
      <c r="G126" s="12" t="inlineStr"/>
      <c r="H126" s="12" t="inlineStr"/>
      <c r="I126" s="12" t="inlineStr"/>
      <c r="J126" s="12" t="inlineStr"/>
      <c r="K126" s="12" t="inlineStr">
        <is>
          <t>divider µA</t>
        </is>
      </c>
      <c r="L126" s="29" t="n">
        <v>12</v>
      </c>
      <c r="M126" s="29" t="inlineStr">
        <is>
          <t>$$</t>
        </is>
      </c>
      <c r="N126" s="29" t="n">
        <v>2</v>
      </c>
      <c r="O126" s="12" t="inlineStr"/>
      <c r="P126" s="12" t="inlineStr"/>
      <c r="Q126" s="12" t="inlineStr">
        <is>
          <t>AE, SF, AMZ</t>
        </is>
      </c>
      <c r="R126" s="12" t="inlineStr">
        <is>
          <t>Wild, Air, Home</t>
        </is>
      </c>
    </row>
    <row r="127" ht="28" customHeight="1">
      <c r="A127" s="25" t="inlineStr">
        <is>
          <t>S123</t>
        </is>
      </c>
      <c r="B127" s="26" t="inlineStr">
        <is>
          <t>Tipping bucket rain gauge</t>
        </is>
      </c>
      <c r="C127" s="12" t="inlineStr">
        <is>
          <t>Weather &amp; Outdoor</t>
        </is>
      </c>
      <c r="D127" s="12" t="inlineStr">
        <is>
          <t>Rainfall in 0.2-0.3mm increments</t>
        </is>
      </c>
      <c r="E127" s="31" t="inlineStr"/>
      <c r="F127" s="12" t="inlineStr">
        <is>
          <t>Pulse</t>
        </is>
      </c>
      <c r="G127" s="12" t="inlineStr"/>
      <c r="H127" s="12" t="inlineStr"/>
      <c r="I127" s="12" t="inlineStr"/>
      <c r="J127" s="12" t="inlineStr"/>
      <c r="K127" s="12" t="inlineStr">
        <is>
          <t>0</t>
        </is>
      </c>
      <c r="L127" s="29" t="n">
        <v>12</v>
      </c>
      <c r="M127" s="29" t="inlineStr">
        <is>
          <t>$$</t>
        </is>
      </c>
      <c r="N127" s="29" t="n">
        <v>1</v>
      </c>
      <c r="O127" s="12" t="inlineStr"/>
      <c r="P127" s="12" t="inlineStr"/>
      <c r="Q127" s="12" t="inlineStr">
        <is>
          <t>AE, SF, AMZ</t>
        </is>
      </c>
      <c r="R127" s="12" t="inlineStr">
        <is>
          <t>Wild, Grow, Water</t>
        </is>
      </c>
    </row>
    <row r="128" ht="28" customHeight="1">
      <c r="A128" s="25" t="inlineStr">
        <is>
          <t>S124</t>
        </is>
      </c>
      <c r="B128" s="26" t="inlineStr">
        <is>
          <t>AS3935 lightning detector</t>
        </is>
      </c>
      <c r="C128" s="12" t="inlineStr">
        <is>
          <t>Weather &amp; Outdoor</t>
        </is>
      </c>
      <c r="D128" s="12" t="inlineStr">
        <is>
          <t>Lightning strikes up to 40km away + distance estimate</t>
        </is>
      </c>
      <c r="E128" s="31" t="inlineStr"/>
      <c r="F128" s="12" t="inlineStr">
        <is>
          <t>I2C/SPI</t>
        </is>
      </c>
      <c r="G128" s="12" t="inlineStr"/>
      <c r="H128" s="12" t="inlineStr"/>
      <c r="I128" s="12" t="inlineStr"/>
      <c r="J128" s="12" t="inlineStr"/>
      <c r="K128" s="12" t="inlineStr">
        <is>
          <t>60µA listening</t>
        </is>
      </c>
      <c r="L128" s="29" t="n">
        <v>20</v>
      </c>
      <c r="M128" s="29" t="inlineStr">
        <is>
          <t>$$$</t>
        </is>
      </c>
      <c r="N128" s="29" t="n">
        <v>3</v>
      </c>
      <c r="O128" s="12" t="inlineStr"/>
      <c r="P128" s="12" t="inlineStr"/>
      <c r="Q128" s="12" t="inlineStr">
        <is>
          <t>SF, DFR, AE, DK</t>
        </is>
      </c>
      <c r="R128" s="12" t="inlineStr">
        <is>
          <t>Wild, Safety, Play</t>
        </is>
      </c>
    </row>
    <row r="129" ht="28" customHeight="1">
      <c r="A129" s="25" t="inlineStr">
        <is>
          <t>S125</t>
        </is>
      </c>
      <c r="B129" s="26" t="inlineStr">
        <is>
          <t>ML8511 / VEML6075 UV outdoor</t>
        </is>
      </c>
      <c r="C129" s="12" t="inlineStr">
        <is>
          <t>Weather &amp; Outdoor</t>
        </is>
      </c>
      <c r="D129" s="12" t="inlineStr">
        <is>
          <t>UV intensity mW/cm² for weather stations</t>
        </is>
      </c>
      <c r="E129" s="31" t="inlineStr"/>
      <c r="F129" s="12" t="inlineStr">
        <is>
          <t>Analog</t>
        </is>
      </c>
      <c r="G129" s="12" t="inlineStr"/>
      <c r="H129" s="12" t="inlineStr"/>
      <c r="I129" s="12" t="inlineStr"/>
      <c r="J129" s="12" t="inlineStr"/>
      <c r="K129" s="12" t="inlineStr">
        <is>
          <t>300µA</t>
        </is>
      </c>
      <c r="L129" s="29" t="n">
        <v>6</v>
      </c>
      <c r="M129" s="29" t="inlineStr">
        <is>
          <t>$$</t>
        </is>
      </c>
      <c r="N129" s="29" t="n">
        <v>1</v>
      </c>
      <c r="O129" s="12" t="inlineStr"/>
      <c r="P129" s="12" t="inlineStr"/>
      <c r="Q129" s="12" t="inlineStr">
        <is>
          <t>AE, SF, DK</t>
        </is>
      </c>
      <c r="R129" s="12" t="inlineStr">
        <is>
          <t>Wild</t>
        </is>
      </c>
    </row>
    <row r="130" ht="28" customHeight="1">
      <c r="A130" s="25" t="inlineStr">
        <is>
          <t>S126</t>
        </is>
      </c>
      <c r="B130" s="26" t="inlineStr">
        <is>
          <t>Snow/level laser (outdoor ToF)</t>
        </is>
      </c>
      <c r="C130" s="12" t="inlineStr">
        <is>
          <t>Weather &amp; Outdoor</t>
        </is>
      </c>
      <c r="D130" s="12" t="inlineStr">
        <is>
          <t>Distance to 40m outdoors (sunlight-tolerant)</t>
        </is>
      </c>
      <c r="E130" s="31" t="inlineStr"/>
      <c r="F130" s="12" t="inlineStr">
        <is>
          <t>CAN/UART</t>
        </is>
      </c>
      <c r="G130" s="12" t="inlineStr"/>
      <c r="H130" s="12" t="inlineStr"/>
      <c r="I130" s="12" t="inlineStr"/>
      <c r="J130" s="12" t="inlineStr"/>
      <c r="K130" s="12" t="inlineStr">
        <is>
          <t>100mA</t>
        </is>
      </c>
      <c r="L130" s="29" t="n">
        <v>70</v>
      </c>
      <c r="M130" s="29" t="inlineStr">
        <is>
          <t>$$$$</t>
        </is>
      </c>
      <c r="N130" s="29" t="n">
        <v>2</v>
      </c>
      <c r="O130" s="12" t="inlineStr"/>
      <c r="P130" s="12" t="inlineStr"/>
      <c r="Q130" s="12" t="inlineStr">
        <is>
          <t>AE, DK, DFR</t>
        </is>
      </c>
      <c r="R130" s="12" t="inlineStr">
        <is>
          <t>Wild, Water, Safety</t>
        </is>
      </c>
    </row>
    <row r="131" ht="28" customHeight="1">
      <c r="A131" s="25" t="inlineStr">
        <is>
          <t>S127</t>
        </is>
      </c>
      <c r="B131" s="26" t="inlineStr">
        <is>
          <t>Leaf wetness sensor</t>
        </is>
      </c>
      <c r="C131" s="12" t="inlineStr">
        <is>
          <t>Weather &amp; Outdoor</t>
        </is>
      </c>
      <c r="D131" s="12" t="inlineStr">
        <is>
          <t>Moisture film on leaf surfaces</t>
        </is>
      </c>
      <c r="E131" s="31" t="inlineStr"/>
      <c r="F131" s="12" t="inlineStr">
        <is>
          <t>RS-485/Analog</t>
        </is>
      </c>
      <c r="G131" s="12" t="inlineStr"/>
      <c r="H131" s="12" t="inlineStr"/>
      <c r="I131" s="12" t="inlineStr"/>
      <c r="J131" s="12" t="inlineStr"/>
      <c r="K131" s="12" t="inlineStr">
        <is>
          <t>&lt;5mA</t>
        </is>
      </c>
      <c r="L131" s="29" t="n">
        <v>15</v>
      </c>
      <c r="M131" s="29" t="inlineStr">
        <is>
          <t>$$$</t>
        </is>
      </c>
      <c r="N131" s="29" t="n">
        <v>1</v>
      </c>
      <c r="O131" s="12" t="inlineStr"/>
      <c r="P131" s="12" t="inlineStr"/>
      <c r="Q131" s="12" t="inlineStr">
        <is>
          <t>DFR, AE, DK</t>
        </is>
      </c>
      <c r="R131" s="12" t="inlineStr">
        <is>
          <t>Grow, Wild</t>
        </is>
      </c>
    </row>
    <row r="132" ht="28" customHeight="1">
      <c r="A132" s="25" t="inlineStr">
        <is>
          <t>S128</t>
        </is>
      </c>
      <c r="B132" s="26" t="inlineStr">
        <is>
          <t>Pyranometer (solar irradiance)</t>
        </is>
      </c>
      <c r="C132" s="12" t="inlineStr">
        <is>
          <t>Weather &amp; Outdoor</t>
        </is>
      </c>
      <c r="D132" s="12" t="inlineStr">
        <is>
          <t>Total solar power hitting a surface (W/m²)</t>
        </is>
      </c>
      <c r="E132" s="31" t="inlineStr"/>
      <c r="F132" s="12" t="inlineStr">
        <is>
          <t>I2C/RS-485/Analog</t>
        </is>
      </c>
      <c r="G132" s="12" t="inlineStr"/>
      <c r="H132" s="12" t="inlineStr"/>
      <c r="I132" s="12" t="inlineStr"/>
      <c r="J132" s="12" t="inlineStr"/>
      <c r="K132" s="12" t="inlineStr">
        <is>
          <t>&lt;5mA</t>
        </is>
      </c>
      <c r="L132" s="29" t="n">
        <v>60</v>
      </c>
      <c r="M132" s="29" t="inlineStr">
        <is>
          <t>$$$$</t>
        </is>
      </c>
      <c r="N132" s="29" t="n">
        <v>2</v>
      </c>
      <c r="O132" s="12" t="inlineStr"/>
      <c r="P132" s="12" t="inlineStr"/>
      <c r="Q132" s="12" t="inlineStr">
        <is>
          <t>DFR, DK, AP</t>
        </is>
      </c>
      <c r="R132" s="12" t="inlineStr">
        <is>
          <t>Energy, Grow, Wild</t>
        </is>
      </c>
    </row>
    <row r="133" ht="28" customHeight="1">
      <c r="A133" s="25" t="inlineStr">
        <is>
          <t>S129</t>
        </is>
      </c>
      <c r="B133" s="26" t="inlineStr">
        <is>
          <t>Capacitive soil moisture v2</t>
        </is>
      </c>
      <c r="C133" s="12" t="inlineStr">
        <is>
          <t>Soil &amp; Agriculture</t>
        </is>
      </c>
      <c r="D133" s="12" t="inlineStr">
        <is>
          <t>Volumetric soil water (relative)</t>
        </is>
      </c>
      <c r="E133" s="40" t="inlineStr">
        <is>
          <t>Electrical</t>
        </is>
      </c>
      <c r="F133" s="12" t="inlineStr">
        <is>
          <t>Analog</t>
        </is>
      </c>
      <c r="G133" s="12" t="inlineStr">
        <is>
          <t>Relative, 0-100% of your own calibration</t>
        </is>
      </c>
      <c r="H133" s="12" t="inlineStr">
        <is>
          <t>Uncalibrated across soil types</t>
        </is>
      </c>
      <c r="I133" s="12" t="inlineStr">
        <is>
          <t>Immersed</t>
        </is>
      </c>
      <c r="J133" s="28" t="inlineStr">
        <is>
          <t>—</t>
        </is>
      </c>
      <c r="K133" s="12" t="inlineStr">
        <is>
          <t>5mA</t>
        </is>
      </c>
      <c r="L133" s="29" t="n">
        <v>2</v>
      </c>
      <c r="M133" s="29" t="inlineStr">
        <is>
          <t>$</t>
        </is>
      </c>
      <c r="N133" s="29" t="n">
        <v>1</v>
      </c>
      <c r="O133" s="12" t="inlineStr"/>
      <c r="P133" s="12" t="inlineStr">
        <is>
          <t>Clone-risk</t>
        </is>
      </c>
      <c r="Q133" s="12" t="inlineStr">
        <is>
          <t>AE, AMZ, DFR, CE</t>
        </is>
      </c>
      <c r="R133" s="12" t="inlineStr">
        <is>
          <t>Grow, Home, Water</t>
        </is>
      </c>
    </row>
    <row r="134" ht="28" customHeight="1">
      <c r="A134" s="25" t="inlineStr">
        <is>
          <t>S130</t>
        </is>
      </c>
      <c r="B134" s="26" t="inlineStr">
        <is>
          <t>RS-485 soil NPK/EC probe</t>
        </is>
      </c>
      <c r="C134" s="12" t="inlineStr">
        <is>
          <t>Soil &amp; Agriculture</t>
        </is>
      </c>
      <c r="D134" s="12" t="inlineStr">
        <is>
          <t>Soil N-P-K, EC, pH, moisture, temp (claims vary!)</t>
        </is>
      </c>
      <c r="E134" s="31" t="inlineStr"/>
      <c r="F134" s="12" t="inlineStr">
        <is>
          <t>RS-485</t>
        </is>
      </c>
      <c r="G134" s="12" t="inlineStr"/>
      <c r="H134" s="12" t="inlineStr"/>
      <c r="I134" s="12" t="inlineStr"/>
      <c r="J134" s="12" t="inlineStr"/>
      <c r="K134" s="12" t="inlineStr">
        <is>
          <t>50mA</t>
        </is>
      </c>
      <c r="L134" s="29" t="n">
        <v>40</v>
      </c>
      <c r="M134" s="29" t="inlineStr">
        <is>
          <t>$$$</t>
        </is>
      </c>
      <c r="N134" s="29" t="n">
        <v>3</v>
      </c>
      <c r="O134" s="12" t="inlineStr"/>
      <c r="P134" s="12" t="inlineStr"/>
      <c r="Q134" s="12" t="inlineStr">
        <is>
          <t>AE, AMZ</t>
        </is>
      </c>
      <c r="R134" s="12" t="inlineStr">
        <is>
          <t>Grow, Wild, Water</t>
        </is>
      </c>
    </row>
    <row r="135" ht="28" customHeight="1">
      <c r="A135" s="25" t="inlineStr">
        <is>
          <t>S131</t>
        </is>
      </c>
      <c r="B135" s="26" t="inlineStr">
        <is>
          <t>Chirp! plant sensor</t>
        </is>
      </c>
      <c r="C135" s="12" t="inlineStr">
        <is>
          <t>Soil &amp; Agriculture</t>
        </is>
      </c>
      <c r="D135" s="12" t="inlineStr">
        <is>
          <t>Capacitive moisture + light + temp on one stake</t>
        </is>
      </c>
      <c r="E135" s="31" t="inlineStr"/>
      <c r="F135" s="12" t="inlineStr">
        <is>
          <t>I2C</t>
        </is>
      </c>
      <c r="G135" s="12" t="inlineStr"/>
      <c r="H135" s="12" t="inlineStr"/>
      <c r="I135" s="12" t="inlineStr"/>
      <c r="J135" s="12" t="inlineStr"/>
      <c r="K135" s="12" t="inlineStr">
        <is>
          <t>low</t>
        </is>
      </c>
      <c r="L135" s="29" t="n">
        <v>10</v>
      </c>
      <c r="M135" s="29" t="inlineStr">
        <is>
          <t>$$</t>
        </is>
      </c>
      <c r="N135" s="29" t="n">
        <v>1</v>
      </c>
      <c r="O135" s="12" t="inlineStr"/>
      <c r="P135" s="12" t="inlineStr"/>
      <c r="Q135" s="12" t="inlineStr">
        <is>
          <t>TIN, AE</t>
        </is>
      </c>
      <c r="R135" s="12" t="inlineStr">
        <is>
          <t>Grow, Home, Play</t>
        </is>
      </c>
    </row>
    <row r="136" ht="28" customHeight="1">
      <c r="A136" s="25" t="inlineStr">
        <is>
          <t>S132</t>
        </is>
      </c>
      <c r="B136" s="26" t="inlineStr">
        <is>
          <t>DS18B20 soil temp spear</t>
        </is>
      </c>
      <c r="C136" s="12" t="inlineStr">
        <is>
          <t>Soil &amp; Agriculture</t>
        </is>
      </c>
      <c r="D136" s="12" t="inlineStr">
        <is>
          <t>Soil temperature at root depth</t>
        </is>
      </c>
      <c r="E136" s="31" t="inlineStr"/>
      <c r="F136" s="12" t="inlineStr">
        <is>
          <t>1-Wire</t>
        </is>
      </c>
      <c r="G136" s="12" t="inlineStr"/>
      <c r="H136" s="12" t="inlineStr"/>
      <c r="I136" s="12" t="inlineStr"/>
      <c r="J136" s="12" t="inlineStr"/>
      <c r="K136" s="12" t="inlineStr">
        <is>
          <t>1mA</t>
        </is>
      </c>
      <c r="L136" s="29" t="n">
        <v>5</v>
      </c>
      <c r="M136" s="29" t="inlineStr">
        <is>
          <t>$$</t>
        </is>
      </c>
      <c r="N136" s="29" t="n">
        <v>1</v>
      </c>
      <c r="O136" s="12" t="inlineStr"/>
      <c r="P136" s="12" t="inlineStr"/>
      <c r="Q136" s="12" t="inlineStr">
        <is>
          <t>AE, AMZ, DFR</t>
        </is>
      </c>
      <c r="R136" s="12" t="inlineStr">
        <is>
          <t>Grow, Wild</t>
        </is>
      </c>
    </row>
    <row r="137" ht="28" customHeight="1">
      <c r="A137" s="25" t="inlineStr">
        <is>
          <t>S133</t>
        </is>
      </c>
      <c r="B137" s="26" t="inlineStr">
        <is>
          <t>Compost / hay temp lance</t>
        </is>
      </c>
      <c r="C137" s="12" t="inlineStr">
        <is>
          <t>Soil &amp; Agriculture</t>
        </is>
      </c>
      <c r="D137" s="12" t="inlineStr">
        <is>
          <t>Deep-pile temperature profile (fire risk + activity)</t>
        </is>
      </c>
      <c r="E137" s="31" t="inlineStr"/>
      <c r="F137" s="12" t="inlineStr">
        <is>
          <t>1-Wire</t>
        </is>
      </c>
      <c r="G137" s="12" t="inlineStr"/>
      <c r="H137" s="12" t="inlineStr"/>
      <c r="I137" s="12" t="inlineStr"/>
      <c r="J137" s="12" t="inlineStr"/>
      <c r="K137" s="12" t="inlineStr">
        <is>
          <t>mA</t>
        </is>
      </c>
      <c r="L137" s="29" t="n">
        <v>15</v>
      </c>
      <c r="M137" s="29" t="inlineStr">
        <is>
          <t>$$$</t>
        </is>
      </c>
      <c r="N137" s="29" t="n">
        <v>2</v>
      </c>
      <c r="O137" s="12" t="inlineStr"/>
      <c r="P137" s="12" t="inlineStr"/>
      <c r="Q137" s="12" t="inlineStr">
        <is>
          <t>AE, DIY</t>
        </is>
      </c>
      <c r="R137" s="12" t="inlineStr">
        <is>
          <t>Grow, Safety, Wild</t>
        </is>
      </c>
    </row>
    <row r="138" ht="28" customHeight="1">
      <c r="A138" s="25" t="inlineStr">
        <is>
          <t>S134</t>
        </is>
      </c>
      <c r="B138" s="26" t="inlineStr">
        <is>
          <t>Analog pH kit</t>
        </is>
      </c>
      <c r="C138" s="12" t="inlineStr">
        <is>
          <t>Water &amp; Liquid</t>
        </is>
      </c>
      <c r="D138" s="12" t="inlineStr">
        <is>
          <t>pH 0-14 of any liquid</t>
        </is>
      </c>
      <c r="E138" s="31" t="inlineStr"/>
      <c r="F138" s="12" t="inlineStr">
        <is>
          <t>Analog</t>
        </is>
      </c>
      <c r="G138" s="12" t="inlineStr"/>
      <c r="H138" s="12" t="inlineStr"/>
      <c r="I138" s="12" t="inlineStr"/>
      <c r="J138" s="12" t="inlineStr"/>
      <c r="K138" s="12" t="inlineStr">
        <is>
          <t>&lt;10mA</t>
        </is>
      </c>
      <c r="L138" s="29" t="n">
        <v>30</v>
      </c>
      <c r="M138" s="29" t="inlineStr">
        <is>
          <t>$$$</t>
        </is>
      </c>
      <c r="N138" s="29" t="n">
        <v>3</v>
      </c>
      <c r="O138" s="12" t="inlineStr"/>
      <c r="P138" s="12" t="inlineStr"/>
      <c r="Q138" s="12" t="inlineStr">
        <is>
          <t>DFR, AE, AMZ</t>
        </is>
      </c>
      <c r="R138" s="12" t="inlineStr">
        <is>
          <t>Water, Grow, Health</t>
        </is>
      </c>
    </row>
    <row r="139" ht="28" customHeight="1">
      <c r="A139" s="25" t="inlineStr">
        <is>
          <t>S135</t>
        </is>
      </c>
      <c r="B139" s="26" t="inlineStr">
        <is>
          <t>EC / TDS sensor</t>
        </is>
      </c>
      <c r="C139" s="12" t="inlineStr">
        <is>
          <t>Water &amp; Liquid</t>
        </is>
      </c>
      <c r="D139" s="12" t="inlineStr">
        <is>
          <t>Electrical conductivity → dissolved solids ppm</t>
        </is>
      </c>
      <c r="E139" s="31" t="inlineStr"/>
      <c r="F139" s="12" t="inlineStr">
        <is>
          <t>Analog</t>
        </is>
      </c>
      <c r="G139" s="12" t="inlineStr"/>
      <c r="H139" s="12" t="inlineStr"/>
      <c r="I139" s="12" t="inlineStr"/>
      <c r="J139" s="12" t="inlineStr"/>
      <c r="K139" s="12" t="inlineStr">
        <is>
          <t>3mA</t>
        </is>
      </c>
      <c r="L139" s="29" t="n">
        <v>12</v>
      </c>
      <c r="M139" s="29" t="inlineStr">
        <is>
          <t>$$</t>
        </is>
      </c>
      <c r="N139" s="29" t="n">
        <v>2</v>
      </c>
      <c r="O139" s="12" t="inlineStr"/>
      <c r="P139" s="12" t="inlineStr"/>
      <c r="Q139" s="12" t="inlineStr">
        <is>
          <t>DFR, AE, SS</t>
        </is>
      </c>
      <c r="R139" s="12" t="inlineStr">
        <is>
          <t>Water, Grow, Home</t>
        </is>
      </c>
    </row>
    <row r="140" ht="28" customHeight="1">
      <c r="A140" s="25" t="inlineStr">
        <is>
          <t>S239</t>
        </is>
      </c>
      <c r="B140" s="26" t="inlineStr">
        <is>
          <t>Dissolved oxygen kit (Atlas EZO-DO)</t>
        </is>
      </c>
      <c r="C140" s="12" t="inlineStr">
        <is>
          <t>Water &amp; Liquid</t>
        </is>
      </c>
      <c r="D140" s="12" t="inlineStr">
        <is>
          <t>Dissolved O2 mg/L (fish &amp; ferment critical)</t>
        </is>
      </c>
      <c r="E140" s="31" t="inlineStr"/>
      <c r="F140" s="12" t="inlineStr">
        <is>
          <t>I2C/UART/Analog</t>
        </is>
      </c>
      <c r="G140" s="12" t="inlineStr"/>
      <c r="H140" s="12" t="inlineStr"/>
      <c r="I140" s="12" t="inlineStr"/>
      <c r="J140" s="12" t="inlineStr"/>
      <c r="K140" s="12" t="inlineStr">
        <is>
          <t>&lt;10mA</t>
        </is>
      </c>
      <c r="L140" s="29" t="n">
        <v>170</v>
      </c>
      <c r="M140" s="29" t="inlineStr">
        <is>
          <t>$$$$</t>
        </is>
      </c>
      <c r="N140" s="29" t="n">
        <v>3</v>
      </c>
      <c r="O140" s="12" t="inlineStr"/>
      <c r="P140" s="12" t="inlineStr"/>
      <c r="Q140" s="12" t="inlineStr">
        <is>
          <t>AT, DFR, DK</t>
        </is>
      </c>
      <c r="R140" s="12" t="inlineStr">
        <is>
          <t>Water, Grow, Wild</t>
        </is>
      </c>
    </row>
    <row r="141" ht="28" customHeight="1">
      <c r="A141" s="25" t="inlineStr">
        <is>
          <t>S137</t>
        </is>
      </c>
      <c r="B141" s="26" t="inlineStr">
        <is>
          <t>Turbidity sensor</t>
        </is>
      </c>
      <c r="C141" s="12" t="inlineStr">
        <is>
          <t>Water &amp; Liquid</t>
        </is>
      </c>
      <c r="D141" s="12" t="inlineStr">
        <is>
          <t>Water cloudiness (suspended particles)</t>
        </is>
      </c>
      <c r="E141" s="31" t="inlineStr"/>
      <c r="F141" s="12" t="inlineStr">
        <is>
          <t>Analog</t>
        </is>
      </c>
      <c r="G141" s="12" t="inlineStr"/>
      <c r="H141" s="12" t="inlineStr"/>
      <c r="I141" s="12" t="inlineStr"/>
      <c r="J141" s="12" t="inlineStr"/>
      <c r="K141" s="12" t="inlineStr">
        <is>
          <t>30mA</t>
        </is>
      </c>
      <c r="L141" s="29" t="n">
        <v>12</v>
      </c>
      <c r="M141" s="29" t="inlineStr">
        <is>
          <t>$$</t>
        </is>
      </c>
      <c r="N141" s="29" t="n">
        <v>2</v>
      </c>
      <c r="O141" s="12" t="inlineStr"/>
      <c r="P141" s="12" t="inlineStr"/>
      <c r="Q141" s="12" t="inlineStr">
        <is>
          <t>DFR, AE, AMZ</t>
        </is>
      </c>
      <c r="R141" s="12" t="inlineStr">
        <is>
          <t>Water, Wild, Safety</t>
        </is>
      </c>
    </row>
    <row r="142" ht="28" customHeight="1">
      <c r="A142" s="25" t="inlineStr">
        <is>
          <t>S138</t>
        </is>
      </c>
      <c r="B142" s="26" t="inlineStr">
        <is>
          <t>YF-S201 flow sensor</t>
        </is>
      </c>
      <c r="C142" s="12" t="inlineStr">
        <is>
          <t>Water &amp; Liquid</t>
        </is>
      </c>
      <c r="D142" s="12" t="inlineStr">
        <is>
          <t>Water flow 1-30 L/min via inline turbine</t>
        </is>
      </c>
      <c r="E142" s="34" t="inlineStr">
        <is>
          <t>Mechanical</t>
        </is>
      </c>
      <c r="F142" s="12" t="inlineStr">
        <is>
          <t>Pulse</t>
        </is>
      </c>
      <c r="G142" s="12" t="inlineStr">
        <is>
          <t>1-30 L/min</t>
        </is>
      </c>
      <c r="H142" s="12" t="inlineStr">
        <is>
          <t>±10% uncalibrated</t>
        </is>
      </c>
      <c r="I142" s="12" t="inlineStr">
        <is>
          <t>Immersed</t>
        </is>
      </c>
      <c r="J142" s="28" t="inlineStr">
        <is>
          <t>—</t>
        </is>
      </c>
      <c r="K142" s="12" t="inlineStr">
        <is>
          <t>15mA</t>
        </is>
      </c>
      <c r="L142" s="29" t="n">
        <v>5</v>
      </c>
      <c r="M142" s="29" t="inlineStr">
        <is>
          <t>$$</t>
        </is>
      </c>
      <c r="N142" s="29" t="n">
        <v>1</v>
      </c>
      <c r="O142" s="12" t="inlineStr"/>
      <c r="P142" s="12" t="inlineStr">
        <is>
          <t>Active</t>
        </is>
      </c>
      <c r="Q142" s="12" t="inlineStr">
        <is>
          <t>AE, AMZ, DFR, CE</t>
        </is>
      </c>
      <c r="R142" s="12" t="inlineStr">
        <is>
          <t>Water, Home, Safety</t>
        </is>
      </c>
    </row>
    <row r="143" ht="28" customHeight="1">
      <c r="A143" s="25" t="inlineStr">
        <is>
          <t>S139</t>
        </is>
      </c>
      <c r="B143" s="26" t="inlineStr">
        <is>
          <t>Non-contact liquid level XKC-Y26</t>
        </is>
      </c>
      <c r="C143" s="12" t="inlineStr">
        <is>
          <t>Water &amp; Liquid</t>
        </is>
      </c>
      <c r="D143" s="12" t="inlineStr">
        <is>
          <t>Liquid presence through tank walls (no contact)</t>
        </is>
      </c>
      <c r="E143" s="31" t="inlineStr"/>
      <c r="F143" s="12" t="inlineStr">
        <is>
          <t>Digital</t>
        </is>
      </c>
      <c r="G143" s="12" t="inlineStr"/>
      <c r="H143" s="12" t="inlineStr"/>
      <c r="I143" s="12" t="inlineStr"/>
      <c r="J143" s="12" t="inlineStr"/>
      <c r="K143" s="12" t="inlineStr">
        <is>
          <t>5mA</t>
        </is>
      </c>
      <c r="L143" s="29" t="n">
        <v>8</v>
      </c>
      <c r="M143" s="29" t="inlineStr">
        <is>
          <t>$$</t>
        </is>
      </c>
      <c r="N143" s="29" t="n">
        <v>1</v>
      </c>
      <c r="O143" s="12" t="inlineStr"/>
      <c r="P143" s="12" t="inlineStr"/>
      <c r="Q143" s="12" t="inlineStr">
        <is>
          <t>AE, AMZ, DFR</t>
        </is>
      </c>
      <c r="R143" s="12" t="inlineStr">
        <is>
          <t>Water, Home, MachineHealth</t>
        </is>
      </c>
    </row>
    <row r="144" ht="28" customHeight="1">
      <c r="A144" s="25" t="inlineStr">
        <is>
          <t>S140</t>
        </is>
      </c>
      <c r="B144" s="26" t="inlineStr">
        <is>
          <t>eTape liquid level</t>
        </is>
      </c>
      <c r="C144" s="12" t="inlineStr">
        <is>
          <t>Water &amp; Liquid</t>
        </is>
      </c>
      <c r="D144" s="12" t="inlineStr">
        <is>
          <t>Continuous liquid level along a flexible strip</t>
        </is>
      </c>
      <c r="E144" s="31" t="inlineStr"/>
      <c r="F144" s="12" t="inlineStr">
        <is>
          <t>Analog</t>
        </is>
      </c>
      <c r="G144" s="12" t="inlineStr"/>
      <c r="H144" s="12" t="inlineStr"/>
      <c r="I144" s="12" t="inlineStr"/>
      <c r="J144" s="12" t="inlineStr"/>
      <c r="K144" s="12" t="inlineStr">
        <is>
          <t>divider µA</t>
        </is>
      </c>
      <c r="L144" s="29" t="n">
        <v>40</v>
      </c>
      <c r="M144" s="29" t="inlineStr">
        <is>
          <t>$$$</t>
        </is>
      </c>
      <c r="N144" s="29" t="n">
        <v>2</v>
      </c>
      <c r="O144" s="12" t="inlineStr"/>
      <c r="P144" s="12" t="inlineStr"/>
      <c r="Q144" s="12" t="inlineStr">
        <is>
          <t>AF, DK, MIL</t>
        </is>
      </c>
      <c r="R144" s="12" t="inlineStr">
        <is>
          <t>Water, Grow, Home</t>
        </is>
      </c>
    </row>
    <row r="145" ht="28" customHeight="1">
      <c r="A145" s="25" t="inlineStr">
        <is>
          <t>S141</t>
        </is>
      </c>
      <c r="B145" s="26" t="inlineStr">
        <is>
          <t>Water leak rope sensor</t>
        </is>
      </c>
      <c r="C145" s="12" t="inlineStr">
        <is>
          <t>Water &amp; Liquid</t>
        </is>
      </c>
      <c r="D145" s="12" t="inlineStr">
        <is>
          <t>Water touching ANY point along a rope/cable</t>
        </is>
      </c>
      <c r="E145" s="31" t="inlineStr"/>
      <c r="F145" s="12" t="inlineStr">
        <is>
          <t>Analog/Digital</t>
        </is>
      </c>
      <c r="G145" s="12" t="inlineStr"/>
      <c r="H145" s="12" t="inlineStr"/>
      <c r="I145" s="12" t="inlineStr"/>
      <c r="J145" s="12" t="inlineStr"/>
      <c r="K145" s="12" t="inlineStr">
        <is>
          <t>µA idle</t>
        </is>
      </c>
      <c r="L145" s="29" t="n">
        <v>10</v>
      </c>
      <c r="M145" s="29" t="inlineStr">
        <is>
          <t>$$</t>
        </is>
      </c>
      <c r="N145" s="29" t="n">
        <v>1</v>
      </c>
      <c r="O145" s="12" t="inlineStr"/>
      <c r="P145" s="12" t="inlineStr"/>
      <c r="Q145" s="12" t="inlineStr">
        <is>
          <t>AE, AMZ, DK</t>
        </is>
      </c>
      <c r="R145" s="12" t="inlineStr">
        <is>
          <t>Water, Safety, Home</t>
        </is>
      </c>
    </row>
    <row r="146" ht="28" customHeight="1">
      <c r="A146" s="25" t="inlineStr">
        <is>
          <t>S142</t>
        </is>
      </c>
      <c r="B146" s="26" t="inlineStr">
        <is>
          <t>Ultrasonic liquid (through-wall)</t>
        </is>
      </c>
      <c r="C146" s="12" t="inlineStr">
        <is>
          <t>Water &amp; Liquid</t>
        </is>
      </c>
      <c r="D146" s="12" t="inlineStr">
        <is>
          <t>Liquid level measured from OUTSIDE the tank bottom</t>
        </is>
      </c>
      <c r="E146" s="31" t="inlineStr"/>
      <c r="F146" s="12" t="inlineStr">
        <is>
          <t>UART</t>
        </is>
      </c>
      <c r="G146" s="12" t="inlineStr"/>
      <c r="H146" s="12" t="inlineStr"/>
      <c r="I146" s="12" t="inlineStr"/>
      <c r="J146" s="12" t="inlineStr"/>
      <c r="K146" s="12" t="inlineStr">
        <is>
          <t>50mA</t>
        </is>
      </c>
      <c r="L146" s="29" t="n">
        <v>25</v>
      </c>
      <c r="M146" s="29" t="inlineStr">
        <is>
          <t>$$$</t>
        </is>
      </c>
      <c r="N146" s="29" t="n">
        <v>3</v>
      </c>
      <c r="O146" s="12" t="inlineStr"/>
      <c r="P146" s="12" t="inlineStr"/>
      <c r="Q146" s="12" t="inlineStr">
        <is>
          <t>AE</t>
        </is>
      </c>
      <c r="R146" s="12" t="inlineStr">
        <is>
          <t>Water, MachineHealth, Wild</t>
        </is>
      </c>
    </row>
    <row r="147" ht="28" customHeight="1">
      <c r="A147" s="25" t="inlineStr">
        <is>
          <t>S143</t>
        </is>
      </c>
      <c r="B147" s="26" t="inlineStr">
        <is>
          <t>ORP (redox) probe</t>
        </is>
      </c>
      <c r="C147" s="12" t="inlineStr">
        <is>
          <t>Water &amp; Liquid</t>
        </is>
      </c>
      <c r="D147" s="12" t="inlineStr">
        <is>
          <t>Oxidation-reduction potential (sanitiser power)</t>
        </is>
      </c>
      <c r="E147" s="31" t="inlineStr"/>
      <c r="F147" s="12" t="inlineStr">
        <is>
          <t>I2C/UART</t>
        </is>
      </c>
      <c r="G147" s="12" t="inlineStr"/>
      <c r="H147" s="12" t="inlineStr"/>
      <c r="I147" s="12" t="inlineStr"/>
      <c r="J147" s="12" t="inlineStr"/>
      <c r="K147" s="12" t="inlineStr">
        <is>
          <t>&lt;10mA</t>
        </is>
      </c>
      <c r="L147" s="29" t="n">
        <v>110</v>
      </c>
      <c r="M147" s="29" t="inlineStr">
        <is>
          <t>$$$$</t>
        </is>
      </c>
      <c r="N147" s="29" t="n">
        <v>3</v>
      </c>
      <c r="O147" s="12" t="inlineStr"/>
      <c r="P147" s="12" t="inlineStr"/>
      <c r="Q147" s="12" t="inlineStr">
        <is>
          <t>AT, DFR, DK</t>
        </is>
      </c>
      <c r="R147" s="12" t="inlineStr">
        <is>
          <t>Water, Health, Home</t>
        </is>
      </c>
    </row>
    <row r="148" ht="28" customHeight="1">
      <c r="A148" s="25" t="inlineStr">
        <is>
          <t>S144</t>
        </is>
      </c>
      <c r="B148" s="26" t="inlineStr">
        <is>
          <t>INA219 current/power monitor</t>
        </is>
      </c>
      <c r="C148" s="12" t="inlineStr">
        <is>
          <t>Power &amp; Electrical</t>
        </is>
      </c>
      <c r="D148" s="12" t="inlineStr">
        <is>
          <t>DC voltage, current and watts on one bus</t>
        </is>
      </c>
      <c r="E148" s="31" t="inlineStr"/>
      <c r="F148" s="12" t="inlineStr">
        <is>
          <t>I2C</t>
        </is>
      </c>
      <c r="G148" s="12" t="inlineStr"/>
      <c r="H148" s="12" t="inlineStr"/>
      <c r="I148" s="12" t="inlineStr"/>
      <c r="J148" s="12" t="inlineStr"/>
      <c r="K148" s="12" t="inlineStr">
        <is>
          <t>1mA</t>
        </is>
      </c>
      <c r="L148" s="29" t="n">
        <v>2.5</v>
      </c>
      <c r="M148" s="29" t="inlineStr">
        <is>
          <t>$</t>
        </is>
      </c>
      <c r="N148" s="29" t="n">
        <v>1</v>
      </c>
      <c r="O148" s="12" t="inlineStr"/>
      <c r="P148" s="12" t="inlineStr"/>
      <c r="Q148" s="12" t="inlineStr">
        <is>
          <t>AF, AE, DK, CE</t>
        </is>
      </c>
      <c r="R148" s="12" t="inlineStr">
        <is>
          <t>Energy, MachineHealth, Robots</t>
        </is>
      </c>
    </row>
    <row r="149" ht="28" customHeight="1">
      <c r="A149" s="25" t="inlineStr">
        <is>
          <t>S145</t>
        </is>
      </c>
      <c r="B149" s="26" t="inlineStr">
        <is>
          <t>INA226/INA228 precision power</t>
        </is>
      </c>
      <c r="C149" s="12" t="inlineStr">
        <is>
          <t>Power &amp; Electrical</t>
        </is>
      </c>
      <c r="D149" s="12" t="inlineStr">
        <is>
          <t>High-precision V/I/W + energy accumulation (INA228)</t>
        </is>
      </c>
      <c r="E149" s="31" t="inlineStr"/>
      <c r="F149" s="12" t="inlineStr">
        <is>
          <t>I2C</t>
        </is>
      </c>
      <c r="G149" s="12" t="inlineStr"/>
      <c r="H149" s="12" t="inlineStr"/>
      <c r="I149" s="12" t="inlineStr"/>
      <c r="J149" s="12" t="inlineStr"/>
      <c r="K149" s="12" t="inlineStr">
        <is>
          <t>1mA</t>
        </is>
      </c>
      <c r="L149" s="29" t="n">
        <v>6</v>
      </c>
      <c r="M149" s="29" t="inlineStr">
        <is>
          <t>$$</t>
        </is>
      </c>
      <c r="N149" s="29" t="n">
        <v>2</v>
      </c>
      <c r="O149" s="12" t="inlineStr"/>
      <c r="P149" s="12" t="inlineStr"/>
      <c r="Q149" s="12" t="inlineStr">
        <is>
          <t>AF, DK, MO, AE</t>
        </is>
      </c>
      <c r="R149" s="12" t="inlineStr">
        <is>
          <t>Energy, Wild, MachineHealth</t>
        </is>
      </c>
    </row>
    <row r="150" ht="28" customHeight="1">
      <c r="A150" s="25" t="inlineStr">
        <is>
          <t>S146</t>
        </is>
      </c>
      <c r="B150" s="26" t="inlineStr">
        <is>
          <t>ACS712 Hall current</t>
        </is>
      </c>
      <c r="C150" s="12" t="inlineStr">
        <is>
          <t>Power &amp; Electrical</t>
        </is>
      </c>
      <c r="D150" s="12" t="inlineStr">
        <is>
          <t>±5/20/30A AC or DC, galvanically isolated</t>
        </is>
      </c>
      <c r="E150" s="31" t="inlineStr"/>
      <c r="F150" s="12" t="inlineStr">
        <is>
          <t>Analog</t>
        </is>
      </c>
      <c r="G150" s="12" t="inlineStr"/>
      <c r="H150" s="12" t="inlineStr"/>
      <c r="I150" s="12" t="inlineStr"/>
      <c r="J150" s="12" t="inlineStr"/>
      <c r="K150" s="12" t="inlineStr">
        <is>
          <t>10mA</t>
        </is>
      </c>
      <c r="L150" s="29" t="n">
        <v>3</v>
      </c>
      <c r="M150" s="29" t="inlineStr">
        <is>
          <t>$</t>
        </is>
      </c>
      <c r="N150" s="29" t="n">
        <v>2</v>
      </c>
      <c r="O150" s="12" t="inlineStr"/>
      <c r="P150" s="12" t="inlineStr"/>
      <c r="Q150" s="12" t="inlineStr">
        <is>
          <t>AE, AMZ, DFR, CE</t>
        </is>
      </c>
      <c r="R150" s="12" t="inlineStr">
        <is>
          <t>Energy, MachineHealth, Safety</t>
        </is>
      </c>
    </row>
    <row r="151" ht="28" customHeight="1">
      <c r="A151" s="25" t="inlineStr">
        <is>
          <t>S147</t>
        </is>
      </c>
      <c r="B151" s="26" t="inlineStr">
        <is>
          <t>SCT-013 CT clamp</t>
        </is>
      </c>
      <c r="C151" s="12" t="inlineStr">
        <is>
          <t>Power &amp; Electrical</t>
        </is>
      </c>
      <c r="D151" s="12" t="inlineStr">
        <is>
          <t>AC current up to 100A WITHOUT touching wiring</t>
        </is>
      </c>
      <c r="E151" s="40" t="inlineStr">
        <is>
          <t>Electrical</t>
        </is>
      </c>
      <c r="F151" s="12" t="inlineStr">
        <is>
          <t>Analog</t>
        </is>
      </c>
      <c r="G151" s="12" t="inlineStr">
        <is>
          <t>up to 100 A</t>
        </is>
      </c>
      <c r="H151" s="12" t="inlineStr">
        <is>
          <t>±3% with calibration</t>
        </is>
      </c>
      <c r="I151" s="12" t="inlineStr">
        <is>
          <t>Through-barrier</t>
        </is>
      </c>
      <c r="J151" s="32" t="inlineStr">
        <is>
          <t>◔ aggregate</t>
        </is>
      </c>
      <c r="K151" s="12" t="inlineStr">
        <is>
          <t>0</t>
        </is>
      </c>
      <c r="L151" s="29" t="n">
        <v>10</v>
      </c>
      <c r="M151" s="29" t="inlineStr">
        <is>
          <t>$$</t>
        </is>
      </c>
      <c r="N151" s="29" t="n">
        <v>3</v>
      </c>
      <c r="O151" s="30" t="inlineStr">
        <is>
          <t>⚡MAINS</t>
        </is>
      </c>
      <c r="P151" s="12" t="inlineStr">
        <is>
          <t>Active</t>
        </is>
      </c>
      <c r="Q151" s="12" t="inlineStr">
        <is>
          <t>AE, AMZ, DK, CE</t>
        </is>
      </c>
      <c r="R151" s="12" t="inlineStr">
        <is>
          <t>Energy, Home, MachineHealth</t>
        </is>
      </c>
    </row>
    <row r="152" ht="28" customHeight="1">
      <c r="A152" s="25" t="inlineStr">
        <is>
          <t>S148</t>
        </is>
      </c>
      <c r="B152" s="26" t="inlineStr">
        <is>
          <t>PZEM-004T AC power module</t>
        </is>
      </c>
      <c r="C152" s="12" t="inlineStr">
        <is>
          <t>Power &amp; Electrical</t>
        </is>
      </c>
      <c r="D152" s="12" t="inlineStr">
        <is>
          <t>Mains V, A, W, kWh, Hz, power factor — complete metering</t>
        </is>
      </c>
      <c r="E152" s="31" t="inlineStr"/>
      <c r="F152" s="12" t="inlineStr">
        <is>
          <t>UART</t>
        </is>
      </c>
      <c r="G152" s="12" t="inlineStr"/>
      <c r="H152" s="12" t="inlineStr"/>
      <c r="I152" s="12" t="inlineStr"/>
      <c r="J152" s="12" t="inlineStr"/>
      <c r="K152" s="12" t="inlineStr">
        <is>
          <t>&lt;50mA</t>
        </is>
      </c>
      <c r="L152" s="29" t="n">
        <v>11</v>
      </c>
      <c r="M152" s="29" t="inlineStr">
        <is>
          <t>$$</t>
        </is>
      </c>
      <c r="N152" s="29" t="n">
        <v>2</v>
      </c>
      <c r="O152" s="12" t="inlineStr"/>
      <c r="P152" s="12" t="inlineStr"/>
      <c r="Q152" s="12" t="inlineStr">
        <is>
          <t>AE, AMZ</t>
        </is>
      </c>
      <c r="R152" s="12" t="inlineStr">
        <is>
          <t>Energy, Home</t>
        </is>
      </c>
    </row>
    <row r="153" ht="28" customHeight="1">
      <c r="A153" s="25" t="inlineStr">
        <is>
          <t>S149</t>
        </is>
      </c>
      <c r="B153" s="26" t="inlineStr">
        <is>
          <t>ZMPT101B voltage sensor</t>
        </is>
      </c>
      <c r="C153" s="12" t="inlineStr">
        <is>
          <t>Power &amp; Electrical</t>
        </is>
      </c>
      <c r="D153" s="12" t="inlineStr">
        <is>
          <t>Mains AC voltage waveform (isolated)</t>
        </is>
      </c>
      <c r="E153" s="31" t="inlineStr"/>
      <c r="F153" s="12" t="inlineStr">
        <is>
          <t>Analog</t>
        </is>
      </c>
      <c r="G153" s="12" t="inlineStr"/>
      <c r="H153" s="12" t="inlineStr"/>
      <c r="I153" s="12" t="inlineStr"/>
      <c r="J153" s="12" t="inlineStr"/>
      <c r="K153" s="12" t="inlineStr">
        <is>
          <t>&lt;10mA</t>
        </is>
      </c>
      <c r="L153" s="29" t="n">
        <v>3</v>
      </c>
      <c r="M153" s="29" t="inlineStr">
        <is>
          <t>$</t>
        </is>
      </c>
      <c r="N153" s="29" t="n">
        <v>2</v>
      </c>
      <c r="O153" s="12" t="inlineStr"/>
      <c r="P153" s="12" t="inlineStr"/>
      <c r="Q153" s="12" t="inlineStr">
        <is>
          <t>AE, AMZ, DFR</t>
        </is>
      </c>
      <c r="R153" s="12" t="inlineStr">
        <is>
          <t>Energy, Home, MachineHealth</t>
        </is>
      </c>
    </row>
    <row r="154" ht="28" customHeight="1">
      <c r="A154" s="25" t="inlineStr">
        <is>
          <t>S150</t>
        </is>
      </c>
      <c r="B154" s="26" t="inlineStr">
        <is>
          <t>MAX471 / shunt + ADS1115</t>
        </is>
      </c>
      <c r="C154" s="12" t="inlineStr">
        <is>
          <t>Power &amp; Electrical</t>
        </is>
      </c>
      <c r="D154" s="12" t="inlineStr">
        <is>
          <t>DC current via high-side shunt to spare ADC channels</t>
        </is>
      </c>
      <c r="E154" s="31" t="inlineStr"/>
      <c r="F154" s="12" t="inlineStr">
        <is>
          <t>I2C/Analog</t>
        </is>
      </c>
      <c r="G154" s="12" t="inlineStr"/>
      <c r="H154" s="12" t="inlineStr"/>
      <c r="I154" s="12" t="inlineStr"/>
      <c r="J154" s="12" t="inlineStr"/>
      <c r="K154" s="12" t="inlineStr">
        <is>
          <t>mA</t>
        </is>
      </c>
      <c r="L154" s="29" t="n">
        <v>3</v>
      </c>
      <c r="M154" s="29" t="inlineStr">
        <is>
          <t>$</t>
        </is>
      </c>
      <c r="N154" s="29" t="n">
        <v>2</v>
      </c>
      <c r="O154" s="12" t="inlineStr"/>
      <c r="P154" s="12" t="inlineStr"/>
      <c r="Q154" s="12" t="inlineStr">
        <is>
          <t>AE, AMZ, DK</t>
        </is>
      </c>
      <c r="R154" s="12" t="inlineStr">
        <is>
          <t>Energy, Robots, MachineHealth</t>
        </is>
      </c>
    </row>
    <row r="155" ht="28" customHeight="1">
      <c r="A155" s="25" t="inlineStr">
        <is>
          <t>S151</t>
        </is>
      </c>
      <c r="B155" s="26" t="inlineStr">
        <is>
          <t>KY-040 rotary encoder</t>
        </is>
      </c>
      <c r="C155" s="12" t="inlineStr">
        <is>
          <t>Position &amp; Rotation</t>
        </is>
      </c>
      <c r="D155" s="12" t="inlineStr">
        <is>
          <t>Knob rotation steps + direction + push-button</t>
        </is>
      </c>
      <c r="E155" s="31" t="inlineStr"/>
      <c r="F155" s="12" t="inlineStr">
        <is>
          <t>Analog</t>
        </is>
      </c>
      <c r="G155" s="12" t="inlineStr"/>
      <c r="H155" s="12" t="inlineStr"/>
      <c r="I155" s="12" t="inlineStr"/>
      <c r="J155" s="12" t="inlineStr"/>
      <c r="K155" s="12" t="inlineStr">
        <is>
          <t>µA</t>
        </is>
      </c>
      <c r="L155" s="29" t="n">
        <v>1</v>
      </c>
      <c r="M155" s="29" t="inlineStr">
        <is>
          <t>$</t>
        </is>
      </c>
      <c r="N155" s="29" t="n">
        <v>1</v>
      </c>
      <c r="O155" s="12" t="inlineStr"/>
      <c r="P155" s="12" t="inlineStr"/>
      <c r="Q155" s="12" t="inlineStr">
        <is>
          <t>AE, AMZ, SF, CE</t>
        </is>
      </c>
      <c r="R155" s="12" t="inlineStr">
        <is>
          <t>Play, Home</t>
        </is>
      </c>
    </row>
    <row r="156" ht="28" customHeight="1">
      <c r="A156" s="25" t="inlineStr">
        <is>
          <t>S152</t>
        </is>
      </c>
      <c r="B156" s="26" t="inlineStr">
        <is>
          <t>AS5600 magnetic angle</t>
        </is>
      </c>
      <c r="C156" s="12" t="inlineStr">
        <is>
          <t>Position &amp; Rotation</t>
        </is>
      </c>
      <c r="D156" s="12" t="inlineStr">
        <is>
          <t>Absolute shaft angle 0-360° contactlessly</t>
        </is>
      </c>
      <c r="E156" s="31" t="inlineStr"/>
      <c r="F156" s="12" t="inlineStr">
        <is>
          <t>I2C/PWM/Analog</t>
        </is>
      </c>
      <c r="G156" s="12" t="inlineStr"/>
      <c r="H156" s="12" t="inlineStr"/>
      <c r="I156" s="12" t="inlineStr"/>
      <c r="J156" s="12" t="inlineStr"/>
      <c r="K156" s="12" t="inlineStr">
        <is>
          <t>6.5mA</t>
        </is>
      </c>
      <c r="L156" s="29" t="n">
        <v>3</v>
      </c>
      <c r="M156" s="29" t="inlineStr">
        <is>
          <t>$</t>
        </is>
      </c>
      <c r="N156" s="29" t="n">
        <v>2</v>
      </c>
      <c r="O156" s="12" t="inlineStr"/>
      <c r="P156" s="12" t="inlineStr"/>
      <c r="Q156" s="12" t="inlineStr">
        <is>
          <t>AE, DK, SF, DFR</t>
        </is>
      </c>
      <c r="R156" s="12" t="inlineStr">
        <is>
          <t>Robots</t>
        </is>
      </c>
    </row>
    <row r="157" ht="28" customHeight="1">
      <c r="A157" s="25" t="inlineStr">
        <is>
          <t>S153</t>
        </is>
      </c>
      <c r="B157" s="26" t="inlineStr">
        <is>
          <t>600/1024PPR optical encoder</t>
        </is>
      </c>
      <c r="C157" s="12" t="inlineStr">
        <is>
          <t>Position &amp; Rotation</t>
        </is>
      </c>
      <c r="D157" s="12" t="inlineStr">
        <is>
          <t>Precise shaft rotation (600-1024 pulses/rev)</t>
        </is>
      </c>
      <c r="E157" s="31" t="inlineStr"/>
      <c r="F157" s="12" t="inlineStr">
        <is>
          <t>Pulse</t>
        </is>
      </c>
      <c r="G157" s="12" t="inlineStr"/>
      <c r="H157" s="12" t="inlineStr"/>
      <c r="I157" s="12" t="inlineStr"/>
      <c r="J157" s="12" t="inlineStr"/>
      <c r="K157" s="12" t="inlineStr">
        <is>
          <t>40mA</t>
        </is>
      </c>
      <c r="L157" s="29" t="n">
        <v>12</v>
      </c>
      <c r="M157" s="29" t="inlineStr">
        <is>
          <t>$$</t>
        </is>
      </c>
      <c r="N157" s="29" t="n">
        <v>2</v>
      </c>
      <c r="O157" s="12" t="inlineStr"/>
      <c r="P157" s="12" t="inlineStr"/>
      <c r="Q157" s="12" t="inlineStr">
        <is>
          <t>AE, AMZ</t>
        </is>
      </c>
      <c r="R157" s="12" t="inlineStr">
        <is>
          <t>MachineHealth, Robots</t>
        </is>
      </c>
    </row>
    <row r="158" ht="28" customHeight="1">
      <c r="A158" s="25" t="inlineStr">
        <is>
          <t>S154</t>
        </is>
      </c>
      <c r="B158" s="26" t="inlineStr">
        <is>
          <t>Linear potentiometer / softpot</t>
        </is>
      </c>
      <c r="C158" s="12" t="inlineStr">
        <is>
          <t>Position &amp; Rotation</t>
        </is>
      </c>
      <c r="D158" s="12" t="inlineStr">
        <is>
          <t>Absolute position along a strip/track</t>
        </is>
      </c>
      <c r="E158" s="31" t="inlineStr"/>
      <c r="F158" s="12" t="inlineStr">
        <is>
          <t>Analog</t>
        </is>
      </c>
      <c r="G158" s="12" t="inlineStr"/>
      <c r="H158" s="12" t="inlineStr"/>
      <c r="I158" s="12" t="inlineStr"/>
      <c r="J158" s="12" t="inlineStr"/>
      <c r="K158" s="12" t="inlineStr">
        <is>
          <t>divider µA</t>
        </is>
      </c>
      <c r="L158" s="29" t="n">
        <v>6</v>
      </c>
      <c r="M158" s="29" t="inlineStr">
        <is>
          <t>$$</t>
        </is>
      </c>
      <c r="N158" s="29" t="n">
        <v>1</v>
      </c>
      <c r="O158" s="12" t="inlineStr"/>
      <c r="P158" s="12" t="inlineStr"/>
      <c r="Q158" s="12" t="inlineStr">
        <is>
          <t>SF, AF, DK, AE</t>
        </is>
      </c>
      <c r="R158" s="12" t="inlineStr">
        <is>
          <t>Play</t>
        </is>
      </c>
    </row>
    <row r="159" ht="28" customHeight="1">
      <c r="A159" s="25" t="inlineStr">
        <is>
          <t>S155</t>
        </is>
      </c>
      <c r="B159" s="26" t="inlineStr">
        <is>
          <t>VL6180X short-range ToF</t>
        </is>
      </c>
      <c r="C159" s="12" t="inlineStr">
        <is>
          <t>Position &amp; Rotation</t>
        </is>
      </c>
      <c r="D159" s="12" t="inlineStr">
        <is>
          <t>0-100mm distance with mm precision + lux</t>
        </is>
      </c>
      <c r="E159" s="31" t="inlineStr"/>
      <c r="F159" s="12" t="inlineStr">
        <is>
          <t>I2C</t>
        </is>
      </c>
      <c r="G159" s="12" t="inlineStr"/>
      <c r="H159" s="12" t="inlineStr"/>
      <c r="I159" s="12" t="inlineStr"/>
      <c r="J159" s="12" t="inlineStr"/>
      <c r="K159" s="12" t="inlineStr">
        <is>
          <t>1.7mA</t>
        </is>
      </c>
      <c r="L159" s="29" t="n">
        <v>8</v>
      </c>
      <c r="M159" s="29" t="inlineStr">
        <is>
          <t>$$</t>
        </is>
      </c>
      <c r="N159" s="29" t="n">
        <v>1</v>
      </c>
      <c r="O159" s="12" t="inlineStr"/>
      <c r="P159" s="12" t="inlineStr"/>
      <c r="Q159" s="12" t="inlineStr">
        <is>
          <t>AF, SF, PI, DK</t>
        </is>
      </c>
      <c r="R159" s="12" t="inlineStr">
        <is>
          <t>Health, MachineHealth</t>
        </is>
      </c>
    </row>
    <row r="160" ht="28" customHeight="1">
      <c r="A160" s="25" t="inlineStr">
        <is>
          <t>S156</t>
        </is>
      </c>
      <c r="B160" s="26" t="inlineStr">
        <is>
          <t>Joystick module</t>
        </is>
      </c>
      <c r="C160" s="12" t="inlineStr">
        <is>
          <t>Position &amp; Rotation</t>
        </is>
      </c>
      <c r="D160" s="12" t="inlineStr">
        <is>
          <t>X/Y deflection + press</t>
        </is>
      </c>
      <c r="E160" s="31" t="inlineStr"/>
      <c r="F160" s="12" t="inlineStr">
        <is>
          <t>Analog</t>
        </is>
      </c>
      <c r="G160" s="12" t="inlineStr"/>
      <c r="H160" s="12" t="inlineStr"/>
      <c r="I160" s="12" t="inlineStr"/>
      <c r="J160" s="12" t="inlineStr"/>
      <c r="K160" s="12" t="inlineStr">
        <is>
          <t>µA</t>
        </is>
      </c>
      <c r="L160" s="29" t="n">
        <v>1.5</v>
      </c>
      <c r="M160" s="29" t="inlineStr">
        <is>
          <t>$</t>
        </is>
      </c>
      <c r="N160" s="29" t="n">
        <v>1</v>
      </c>
      <c r="O160" s="12" t="inlineStr"/>
      <c r="P160" s="12" t="inlineStr"/>
      <c r="Q160" s="12" t="inlineStr">
        <is>
          <t>AE, AMZ, SF, CE</t>
        </is>
      </c>
      <c r="R160" s="12" t="inlineStr">
        <is>
          <t>Robots, Play</t>
        </is>
      </c>
    </row>
    <row r="161" ht="28" customHeight="1">
      <c r="A161" s="25" t="inlineStr">
        <is>
          <t>S157</t>
        </is>
      </c>
      <c r="B161" s="26" t="inlineStr">
        <is>
          <t>NEO-6M GPS</t>
        </is>
      </c>
      <c r="C161" s="12" t="inlineStr">
        <is>
          <t>GNSS &amp; Positioning</t>
        </is>
      </c>
      <c r="D161" s="12" t="inlineStr">
        <is>
          <t>Latitude/longitude/altitude/speed/time, ~2.5m</t>
        </is>
      </c>
      <c r="E161" s="31" t="inlineStr"/>
      <c r="F161" s="12" t="inlineStr">
        <is>
          <t>UART</t>
        </is>
      </c>
      <c r="G161" s="12" t="inlineStr"/>
      <c r="H161" s="12" t="inlineStr"/>
      <c r="I161" s="12" t="inlineStr"/>
      <c r="J161" s="12" t="inlineStr"/>
      <c r="K161" s="12" t="inlineStr">
        <is>
          <t>45mA</t>
        </is>
      </c>
      <c r="L161" s="29" t="n">
        <v>8</v>
      </c>
      <c r="M161" s="29" t="inlineStr">
        <is>
          <t>$$</t>
        </is>
      </c>
      <c r="N161" s="29" t="n">
        <v>1</v>
      </c>
      <c r="O161" s="12" t="inlineStr"/>
      <c r="P161" s="12" t="inlineStr"/>
      <c r="Q161" s="12" t="inlineStr">
        <is>
          <t>AE, AMZ, DFR, CE</t>
        </is>
      </c>
      <c r="R161" s="12" t="inlineStr">
        <is>
          <t>Wild, Safety</t>
        </is>
      </c>
    </row>
    <row r="162" ht="28" customHeight="1">
      <c r="A162" s="25" t="inlineStr">
        <is>
          <t>S158</t>
        </is>
      </c>
      <c r="B162" s="26" t="inlineStr">
        <is>
          <t>u-blox M10 GNSS</t>
        </is>
      </c>
      <c r="C162" s="12" t="inlineStr">
        <is>
          <t>GNSS &amp; Positioning</t>
        </is>
      </c>
      <c r="D162" s="12" t="inlineStr">
        <is>
          <t>Position from GPS+Galileo+GLONASS+BeiDou simultaneously</t>
        </is>
      </c>
      <c r="E162" s="31" t="inlineStr"/>
      <c r="F162" s="12" t="inlineStr">
        <is>
          <t>I2C/UART</t>
        </is>
      </c>
      <c r="G162" s="12" t="inlineStr"/>
      <c r="H162" s="12" t="inlineStr"/>
      <c r="I162" s="12" t="inlineStr"/>
      <c r="J162" s="12" t="inlineStr"/>
      <c r="K162" s="12" t="inlineStr">
        <is>
          <t>25mA (M10 is frugal)</t>
        </is>
      </c>
      <c r="L162" s="29" t="n">
        <v>20</v>
      </c>
      <c r="M162" s="29" t="inlineStr">
        <is>
          <t>$$$</t>
        </is>
      </c>
      <c r="N162" s="29" t="n">
        <v>2</v>
      </c>
      <c r="O162" s="12" t="inlineStr"/>
      <c r="P162" s="12" t="inlineStr"/>
      <c r="Q162" s="12" t="inlineStr">
        <is>
          <t>SF, AF, DK, MO</t>
        </is>
      </c>
      <c r="R162" s="12" t="inlineStr">
        <is>
          <t>Wild, Play</t>
        </is>
      </c>
    </row>
    <row r="163" ht="28" customHeight="1">
      <c r="A163" s="25" t="inlineStr">
        <is>
          <t>S159</t>
        </is>
      </c>
      <c r="B163" s="26" t="inlineStr">
        <is>
          <t>ZED-F9P RTK centimetre GNSS</t>
        </is>
      </c>
      <c r="C163" s="12" t="inlineStr">
        <is>
          <t>GNSS &amp; Positioning</t>
        </is>
      </c>
      <c r="D163" s="12" t="inlineStr">
        <is>
          <t>Position to 1-2 CENTIMETRES with correction stream</t>
        </is>
      </c>
      <c r="E163" s="31" t="inlineStr"/>
      <c r="F163" s="12" t="inlineStr">
        <is>
          <t>I2C/SPI/UART/USB</t>
        </is>
      </c>
      <c r="G163" s="12" t="inlineStr"/>
      <c r="H163" s="12" t="inlineStr"/>
      <c r="I163" s="12" t="inlineStr"/>
      <c r="J163" s="12" t="inlineStr"/>
      <c r="K163" s="12" t="inlineStr">
        <is>
          <t>130mA</t>
        </is>
      </c>
      <c r="L163" s="29" t="n">
        <v>260</v>
      </c>
      <c r="M163" s="29" t="inlineStr">
        <is>
          <t>$$$$</t>
        </is>
      </c>
      <c r="N163" s="29" t="n">
        <v>4</v>
      </c>
      <c r="O163" s="12" t="inlineStr"/>
      <c r="P163" s="12" t="inlineStr"/>
      <c r="Q163" s="12" t="inlineStr">
        <is>
          <t>SF, DK, MO, AE</t>
        </is>
      </c>
      <c r="R163" s="12" t="inlineStr">
        <is>
          <t>Robots, Grow, Wild</t>
        </is>
      </c>
    </row>
    <row r="164" ht="28" customHeight="1">
      <c r="A164" s="25" t="inlineStr">
        <is>
          <t>S160</t>
        </is>
      </c>
      <c r="B164" s="26" t="inlineStr">
        <is>
          <t>GPS PPS time source</t>
        </is>
      </c>
      <c r="C164" s="12" t="inlineStr">
        <is>
          <t>GNSS &amp; Positioning</t>
        </is>
      </c>
      <c r="D164" s="12" t="inlineStr">
        <is>
          <t>Absolute time to ~50 NANOSECONDS via PPS pulse</t>
        </is>
      </c>
      <c r="E164" s="31" t="inlineStr"/>
      <c r="F164" s="12" t="inlineStr">
        <is>
          <t>UART</t>
        </is>
      </c>
      <c r="G164" s="12" t="inlineStr"/>
      <c r="H164" s="12" t="inlineStr"/>
      <c r="I164" s="12" t="inlineStr"/>
      <c r="J164" s="12" t="inlineStr"/>
      <c r="K164" s="12" t="inlineStr">
        <is>
          <t>30mA</t>
        </is>
      </c>
      <c r="L164" s="29" t="n">
        <v>10</v>
      </c>
      <c r="M164" s="29" t="inlineStr">
        <is>
          <t>$$</t>
        </is>
      </c>
      <c r="N164" s="29" t="n">
        <v>3</v>
      </c>
      <c r="O164" s="12" t="inlineStr"/>
      <c r="P164" s="12" t="inlineStr"/>
      <c r="Q164" s="12" t="inlineStr">
        <is>
          <t>AE, SF, DK</t>
        </is>
      </c>
      <c r="R164" s="12" t="inlineStr">
        <is>
          <t>Invisible, Wild</t>
        </is>
      </c>
    </row>
    <row r="165" ht="28" customHeight="1">
      <c r="A165" s="25" t="inlineStr">
        <is>
          <t>S161</t>
        </is>
      </c>
      <c r="B165" s="26" t="inlineStr">
        <is>
          <t>MLX90640 thermal camera</t>
        </is>
      </c>
      <c r="C165" s="12" t="inlineStr">
        <is>
          <t>Thermal Imaging</t>
        </is>
      </c>
      <c r="D165" s="12" t="inlineStr">
        <is>
          <t>768-pixel thermal image, -40 to 300°C</t>
        </is>
      </c>
      <c r="E165" s="31" t="inlineStr"/>
      <c r="F165" s="12" t="inlineStr">
        <is>
          <t>I2C</t>
        </is>
      </c>
      <c r="G165" s="12" t="inlineStr"/>
      <c r="H165" s="12" t="inlineStr"/>
      <c r="I165" s="12" t="inlineStr"/>
      <c r="J165" s="12" t="inlineStr"/>
      <c r="K165" s="12" t="inlineStr">
        <is>
          <t>20mA</t>
        </is>
      </c>
      <c r="L165" s="29" t="n">
        <v>45</v>
      </c>
      <c r="M165" s="29" t="inlineStr">
        <is>
          <t>$$$</t>
        </is>
      </c>
      <c r="N165" s="29" t="n">
        <v>3</v>
      </c>
      <c r="O165" s="12" t="inlineStr"/>
      <c r="P165" s="12" t="inlineStr"/>
      <c r="Q165" s="12" t="inlineStr">
        <is>
          <t>AF, SF, DK, AE, PI</t>
        </is>
      </c>
      <c r="R165" s="12" t="inlineStr">
        <is>
          <t>Invisible, Home, Energy</t>
        </is>
      </c>
    </row>
    <row r="166" ht="28" customHeight="1">
      <c r="A166" s="25" t="inlineStr">
        <is>
          <t>S162</t>
        </is>
      </c>
      <c r="B166" s="26" t="inlineStr">
        <is>
          <t>MLX90641 thermal (16x12)</t>
        </is>
      </c>
      <c r="C166" s="12" t="inlineStr">
        <is>
          <t>Thermal Imaging</t>
        </is>
      </c>
      <c r="D166" s="12" t="inlineStr">
        <is>
          <t>192-pixel thermal image, lower cost/RAM</t>
        </is>
      </c>
      <c r="E166" s="31" t="inlineStr"/>
      <c r="F166" s="12" t="inlineStr">
        <is>
          <t>I2C</t>
        </is>
      </c>
      <c r="G166" s="12" t="inlineStr"/>
      <c r="H166" s="12" t="inlineStr"/>
      <c r="I166" s="12" t="inlineStr"/>
      <c r="J166" s="12" t="inlineStr"/>
      <c r="K166" s="12" t="inlineStr">
        <is>
          <t>18mA</t>
        </is>
      </c>
      <c r="L166" s="29" t="n">
        <v>60</v>
      </c>
      <c r="M166" s="29" t="inlineStr">
        <is>
          <t>$$$$</t>
        </is>
      </c>
      <c r="N166" s="29" t="n">
        <v>2</v>
      </c>
      <c r="O166" s="12" t="inlineStr"/>
      <c r="P166" s="12" t="inlineStr"/>
      <c r="Q166" s="12" t="inlineStr">
        <is>
          <t>SF, DK, MO</t>
        </is>
      </c>
      <c r="R166" s="12" t="inlineStr">
        <is>
          <t>Home, Energy, Health</t>
        </is>
      </c>
    </row>
    <row r="167" ht="28" customHeight="1">
      <c r="A167" s="25" t="inlineStr">
        <is>
          <t>S163</t>
        </is>
      </c>
      <c r="B167" s="26" t="inlineStr">
        <is>
          <t>FLIR Lepton 3.5</t>
        </is>
      </c>
      <c r="C167" s="12" t="inlineStr">
        <is>
          <t>Thermal Imaging</t>
        </is>
      </c>
      <c r="D167" s="12" t="inlineStr">
        <is>
          <t>160x120 radiometric thermal video</t>
        </is>
      </c>
      <c r="E167" s="31" t="inlineStr"/>
      <c r="F167" s="12" t="inlineStr">
        <is>
          <t>I2C/SPI</t>
        </is>
      </c>
      <c r="G167" s="12" t="inlineStr"/>
      <c r="H167" s="12" t="inlineStr"/>
      <c r="I167" s="12" t="inlineStr"/>
      <c r="J167" s="12" t="inlineStr"/>
      <c r="K167" s="12" t="inlineStr">
        <is>
          <t>160mA</t>
        </is>
      </c>
      <c r="L167" s="29" t="n">
        <v>240</v>
      </c>
      <c r="M167" s="29" t="inlineStr">
        <is>
          <t>$$$$</t>
        </is>
      </c>
      <c r="N167" s="29" t="n">
        <v>5</v>
      </c>
      <c r="O167" s="12" t="inlineStr"/>
      <c r="P167" s="12" t="inlineStr"/>
      <c r="Q167" s="12" t="inlineStr">
        <is>
          <t>SF, DK, GR</t>
        </is>
      </c>
      <c r="R167" s="12" t="inlineStr">
        <is>
          <t>Wild, Invisible, Safety</t>
        </is>
      </c>
    </row>
    <row r="168" ht="28" customHeight="1">
      <c r="A168" s="25" t="inlineStr">
        <is>
          <t>S164</t>
        </is>
      </c>
      <c r="B168" s="26" t="inlineStr">
        <is>
          <t>D6T thermal presence</t>
        </is>
      </c>
      <c r="C168" s="12" t="inlineStr">
        <is>
          <t>Thermal Imaging</t>
        </is>
      </c>
      <c r="D168" s="12" t="inlineStr">
        <is>
          <t>4x4 thermal pixels optimised for people-detection</t>
        </is>
      </c>
      <c r="E168" s="31" t="inlineStr"/>
      <c r="F168" s="12" t="inlineStr">
        <is>
          <t>I2C</t>
        </is>
      </c>
      <c r="G168" s="12" t="inlineStr"/>
      <c r="H168" s="12" t="inlineStr"/>
      <c r="I168" s="12" t="inlineStr"/>
      <c r="J168" s="12" t="inlineStr"/>
      <c r="K168" s="12" t="inlineStr">
        <is>
          <t>5mA</t>
        </is>
      </c>
      <c r="L168" s="29" t="n">
        <v>55</v>
      </c>
      <c r="M168" s="29" t="inlineStr">
        <is>
          <t>$$$$</t>
        </is>
      </c>
      <c r="N168" s="29" t="n">
        <v>2</v>
      </c>
      <c r="O168" s="12" t="inlineStr"/>
      <c r="P168" s="12" t="inlineStr"/>
      <c r="Q168" s="12" t="inlineStr">
        <is>
          <t>DK, MO, SS</t>
        </is>
      </c>
      <c r="R168" s="12" t="inlineStr">
        <is>
          <t>Home, Health, Safety</t>
        </is>
      </c>
    </row>
    <row r="169" ht="28" customHeight="1">
      <c r="A169" s="25" t="inlineStr">
        <is>
          <t>S165</t>
        </is>
      </c>
      <c r="B169" s="26" t="inlineStr">
        <is>
          <t>OV2640 camera (ESP32-CAM)</t>
        </is>
      </c>
      <c r="C169" s="12" t="inlineStr">
        <is>
          <t>Cameras &amp; Vision</t>
        </is>
      </c>
      <c r="D169" s="12" t="inlineStr">
        <is>
          <t>2MP photos / 640x480 streaming video</t>
        </is>
      </c>
      <c r="E169" s="31" t="inlineStr"/>
      <c r="F169" s="12" t="inlineStr">
        <is>
          <t>Camera</t>
        </is>
      </c>
      <c r="G169" s="12" t="inlineStr"/>
      <c r="H169" s="12" t="inlineStr"/>
      <c r="I169" s="12" t="inlineStr"/>
      <c r="J169" s="12" t="inlineStr"/>
      <c r="K169" s="12" t="inlineStr">
        <is>
          <t>180mA streaming</t>
        </is>
      </c>
      <c r="L169" s="29" t="n">
        <v>8</v>
      </c>
      <c r="M169" s="29" t="inlineStr">
        <is>
          <t>$$</t>
        </is>
      </c>
      <c r="N169" s="29" t="n">
        <v>2</v>
      </c>
      <c r="O169" s="12" t="inlineStr"/>
      <c r="P169" s="12" t="inlineStr"/>
      <c r="Q169" s="12" t="inlineStr">
        <is>
          <t>AE, AMZ, DFR, CE</t>
        </is>
      </c>
      <c r="R169" s="12" t="inlineStr">
        <is>
          <t>Wild, Home</t>
        </is>
      </c>
    </row>
    <row r="170" ht="28" customHeight="1">
      <c r="A170" s="25" t="inlineStr">
        <is>
          <t>S166</t>
        </is>
      </c>
      <c r="B170" s="26" t="inlineStr">
        <is>
          <t>OV5640 5MP autofocus cam</t>
        </is>
      </c>
      <c r="C170" s="12" t="inlineStr">
        <is>
          <t>Cameras &amp; Vision</t>
        </is>
      </c>
      <c r="D170" s="12" t="inlineStr">
        <is>
          <t>5MP stills with autofocus, better video</t>
        </is>
      </c>
      <c r="E170" s="31" t="inlineStr"/>
      <c r="F170" s="12" t="inlineStr">
        <is>
          <t>Camera</t>
        </is>
      </c>
      <c r="G170" s="12" t="inlineStr"/>
      <c r="H170" s="12" t="inlineStr"/>
      <c r="I170" s="12" t="inlineStr"/>
      <c r="J170" s="12" t="inlineStr"/>
      <c r="K170" s="12" t="inlineStr">
        <is>
          <t>200mA</t>
        </is>
      </c>
      <c r="L170" s="29" t="n">
        <v>15</v>
      </c>
      <c r="M170" s="29" t="inlineStr">
        <is>
          <t>$$$</t>
        </is>
      </c>
      <c r="N170" s="29" t="n">
        <v>3</v>
      </c>
      <c r="O170" s="12" t="inlineStr"/>
      <c r="P170" s="12" t="inlineStr"/>
      <c r="Q170" s="12" t="inlineStr">
        <is>
          <t>AE, SS, DFR</t>
        </is>
      </c>
      <c r="R170" s="12" t="inlineStr">
        <is>
          <t>Home, Play</t>
        </is>
      </c>
    </row>
    <row r="171" ht="28" customHeight="1">
      <c r="A171" s="25" t="inlineStr">
        <is>
          <t>S167</t>
        </is>
      </c>
      <c r="B171" s="26" t="inlineStr">
        <is>
          <t>Person Sensor (Useful Sensors)</t>
        </is>
      </c>
      <c r="C171" s="12" t="inlineStr">
        <is>
          <t>Cameras &amp; Vision</t>
        </is>
      </c>
      <c r="D171" s="12" t="inlineStr">
        <is>
          <t>Face presence/count/position — preprocessed, no images out</t>
        </is>
      </c>
      <c r="E171" s="31" t="inlineStr"/>
      <c r="F171" s="12" t="inlineStr">
        <is>
          <t>I2C</t>
        </is>
      </c>
      <c r="G171" s="12" t="inlineStr"/>
      <c r="H171" s="12" t="inlineStr"/>
      <c r="I171" s="12" t="inlineStr"/>
      <c r="J171" s="12" t="inlineStr"/>
      <c r="K171" s="12" t="inlineStr">
        <is>
          <t>150mW</t>
        </is>
      </c>
      <c r="L171" s="29" t="n">
        <v>10</v>
      </c>
      <c r="M171" s="29" t="inlineStr">
        <is>
          <t>$$</t>
        </is>
      </c>
      <c r="N171" s="29" t="n">
        <v>1</v>
      </c>
      <c r="O171" s="12" t="inlineStr"/>
      <c r="P171" s="12" t="inlineStr"/>
      <c r="Q171" s="12" t="inlineStr">
        <is>
          <t>SF, DK</t>
        </is>
      </c>
      <c r="R171" s="12" t="inlineStr">
        <is>
          <t>Play, Home</t>
        </is>
      </c>
    </row>
    <row r="172" ht="28" customHeight="1">
      <c r="A172" s="25" t="inlineStr">
        <is>
          <t>S168</t>
        </is>
      </c>
      <c r="B172" s="26" t="inlineStr">
        <is>
          <t>HuskyLens AI camera</t>
        </is>
      </c>
      <c r="C172" s="12" t="inlineStr">
        <is>
          <t>Cameras &amp; Vision</t>
        </is>
      </c>
      <c r="D172" s="12" t="inlineStr">
        <is>
          <t>On-device face/object/line/color/tag recognition</t>
        </is>
      </c>
      <c r="E172" s="31" t="inlineStr"/>
      <c r="F172" s="12" t="inlineStr">
        <is>
          <t>I2C/UART</t>
        </is>
      </c>
      <c r="G172" s="12" t="inlineStr"/>
      <c r="H172" s="12" t="inlineStr"/>
      <c r="I172" s="12" t="inlineStr"/>
      <c r="J172" s="12" t="inlineStr"/>
      <c r="K172" s="12" t="inlineStr">
        <is>
          <t>320mA</t>
        </is>
      </c>
      <c r="L172" s="29" t="n">
        <v>45</v>
      </c>
      <c r="M172" s="29" t="inlineStr">
        <is>
          <t>$$$</t>
        </is>
      </c>
      <c r="N172" s="29" t="n">
        <v>1</v>
      </c>
      <c r="O172" s="12" t="inlineStr"/>
      <c r="P172" s="12" t="inlineStr"/>
      <c r="Q172" s="12" t="inlineStr">
        <is>
          <t>DFR, DK, AMZ, CE</t>
        </is>
      </c>
      <c r="R172" s="12" t="inlineStr">
        <is>
          <t>Robots, Play, Home</t>
        </is>
      </c>
    </row>
    <row r="173" ht="28" customHeight="1">
      <c r="A173" s="25" t="inlineStr">
        <is>
          <t>S169</t>
        </is>
      </c>
      <c r="B173" s="26" t="inlineStr">
        <is>
          <t>Grove Vision AI v2</t>
        </is>
      </c>
      <c r="C173" s="12" t="inlineStr">
        <is>
          <t>Cameras &amp; Vision</t>
        </is>
      </c>
      <c r="D173" s="12" t="inlineStr">
        <is>
          <t>Custom TinyML vision models (YOLO-class) at the edge</t>
        </is>
      </c>
      <c r="E173" s="31" t="inlineStr"/>
      <c r="F173" s="12" t="inlineStr">
        <is>
          <t>I2C/UART</t>
        </is>
      </c>
      <c r="G173" s="12" t="inlineStr"/>
      <c r="H173" s="12" t="inlineStr"/>
      <c r="I173" s="12" t="inlineStr"/>
      <c r="J173" s="12" t="inlineStr"/>
      <c r="K173" s="12" t="inlineStr">
        <is>
          <t>~0.5W</t>
        </is>
      </c>
      <c r="L173" s="29" t="n">
        <v>16</v>
      </c>
      <c r="M173" s="29" t="inlineStr">
        <is>
          <t>$$$</t>
        </is>
      </c>
      <c r="N173" s="29" t="n">
        <v>3</v>
      </c>
      <c r="O173" s="12" t="inlineStr"/>
      <c r="P173" s="12" t="inlineStr"/>
      <c r="Q173" s="12" t="inlineStr">
        <is>
          <t>SS, DK</t>
        </is>
      </c>
      <c r="R173" s="12" t="inlineStr">
        <is>
          <t>MachineHealth, Home, Robots</t>
        </is>
      </c>
    </row>
    <row r="174" ht="28" customHeight="1">
      <c r="A174" s="25" t="inlineStr">
        <is>
          <t>S170</t>
        </is>
      </c>
      <c r="B174" s="26" t="inlineStr">
        <is>
          <t>Geiger counter kit</t>
        </is>
      </c>
      <c r="C174" s="12" t="inlineStr">
        <is>
          <t>Radiation &amp; Nuclear</t>
        </is>
      </c>
      <c r="D174" s="12" t="inlineStr">
        <is>
          <t>Beta/gamma radiation (counts per minute → µSv/h)</t>
        </is>
      </c>
      <c r="E174" s="31" t="inlineStr"/>
      <c r="F174" s="12" t="inlineStr">
        <is>
          <t>Pulse</t>
        </is>
      </c>
      <c r="G174" s="12" t="inlineStr"/>
      <c r="H174" s="12" t="inlineStr"/>
      <c r="I174" s="12" t="inlineStr"/>
      <c r="J174" s="12" t="inlineStr"/>
      <c r="K174" s="12" t="inlineStr">
        <is>
          <t>30mA</t>
        </is>
      </c>
      <c r="L174" s="29" t="n">
        <v>25</v>
      </c>
      <c r="M174" s="29" t="inlineStr">
        <is>
          <t>$$$</t>
        </is>
      </c>
      <c r="N174" s="29" t="n">
        <v>2</v>
      </c>
      <c r="O174" s="12" t="inlineStr"/>
      <c r="P174" s="12" t="inlineStr"/>
      <c r="Q174" s="12" t="inlineStr">
        <is>
          <t>AE, AMZ</t>
        </is>
      </c>
      <c r="R174" s="12" t="inlineStr">
        <is>
          <t>Invisible, Wild, Safety</t>
        </is>
      </c>
    </row>
    <row r="175" ht="28" customHeight="1">
      <c r="A175" s="25" t="inlineStr">
        <is>
          <t>S171</t>
        </is>
      </c>
      <c r="B175" s="26" t="inlineStr">
        <is>
          <t>RD200 radon sensor</t>
        </is>
      </c>
      <c r="C175" s="12" t="inlineStr">
        <is>
          <t>Radiation &amp; Nuclear</t>
        </is>
      </c>
      <c r="D175" s="12" t="inlineStr">
        <is>
          <t>Radon concentration (the #2 cause of lung cancer)</t>
        </is>
      </c>
      <c r="E175" s="31" t="inlineStr"/>
      <c r="F175" s="12" t="inlineStr">
        <is>
          <t>UART</t>
        </is>
      </c>
      <c r="G175" s="12" t="inlineStr"/>
      <c r="H175" s="12" t="inlineStr"/>
      <c r="I175" s="12" t="inlineStr"/>
      <c r="J175" s="12" t="inlineStr"/>
      <c r="K175" s="12" t="inlineStr">
        <is>
          <t>~1W</t>
        </is>
      </c>
      <c r="L175" s="29" t="n">
        <v>180</v>
      </c>
      <c r="M175" s="29" t="inlineStr">
        <is>
          <t>$$$$</t>
        </is>
      </c>
      <c r="N175" s="29" t="n">
        <v>3</v>
      </c>
      <c r="O175" s="12" t="inlineStr"/>
      <c r="P175" s="12" t="inlineStr"/>
      <c r="Q175" s="12" t="inlineStr">
        <is>
          <t>AMZ, AE</t>
        </is>
      </c>
      <c r="R175" s="12" t="inlineStr">
        <is>
          <t>Health, Home, Invisible</t>
        </is>
      </c>
    </row>
    <row r="176" ht="28" customHeight="1">
      <c r="A176" s="25" t="inlineStr">
        <is>
          <t>S172</t>
        </is>
      </c>
      <c r="B176" s="26" t="inlineStr">
        <is>
          <t>EMF / RF field probes</t>
        </is>
      </c>
      <c r="C176" s="12" t="inlineStr">
        <is>
          <t>RF &amp; Electromagnetic</t>
        </is>
      </c>
      <c r="D176" s="12" t="inlineStr">
        <is>
          <t>RF power density / mains EM fields</t>
        </is>
      </c>
      <c r="E176" s="31" t="inlineStr"/>
      <c r="F176" s="12" t="inlineStr">
        <is>
          <t>Analog</t>
        </is>
      </c>
      <c r="G176" s="12" t="inlineStr"/>
      <c r="H176" s="12" t="inlineStr"/>
      <c r="I176" s="12" t="inlineStr"/>
      <c r="J176" s="12" t="inlineStr"/>
      <c r="K176" s="12" t="inlineStr">
        <is>
          <t>68mA (AD8318)</t>
        </is>
      </c>
      <c r="L176" s="29" t="n">
        <v>12</v>
      </c>
      <c r="M176" s="29" t="inlineStr">
        <is>
          <t>$$</t>
        </is>
      </c>
      <c r="N176" s="29" t="n">
        <v>3</v>
      </c>
      <c r="O176" s="12" t="inlineStr"/>
      <c r="P176" s="12" t="inlineStr"/>
      <c r="Q176" s="12" t="inlineStr">
        <is>
          <t>AE, AMZ, DK</t>
        </is>
      </c>
      <c r="R176" s="12" t="inlineStr">
        <is>
          <t>Invisible, Play, Home</t>
        </is>
      </c>
    </row>
    <row r="177" ht="28" customHeight="1">
      <c r="A177" s="25" t="inlineStr">
        <is>
          <t>S173</t>
        </is>
      </c>
      <c r="B177" s="26" t="inlineStr">
        <is>
          <t>SI4432/CC1101 sub-GHz sniffer</t>
        </is>
      </c>
      <c r="C177" s="12" t="inlineStr">
        <is>
          <t>RF &amp; Electromagnetic</t>
        </is>
      </c>
      <c r="D177" s="12" t="inlineStr">
        <is>
          <t>433/868/915MHz device traffic (sensors, remotes)</t>
        </is>
      </c>
      <c r="E177" s="31" t="inlineStr"/>
      <c r="F177" s="12" t="inlineStr">
        <is>
          <t>SPI</t>
        </is>
      </c>
      <c r="G177" s="12" t="inlineStr"/>
      <c r="H177" s="12" t="inlineStr"/>
      <c r="I177" s="12" t="inlineStr"/>
      <c r="J177" s="12" t="inlineStr"/>
      <c r="K177" s="12" t="inlineStr">
        <is>
          <t>16mA RX</t>
        </is>
      </c>
      <c r="L177" s="29" t="n">
        <v>4</v>
      </c>
      <c r="M177" s="29" t="inlineStr">
        <is>
          <t>$</t>
        </is>
      </c>
      <c r="N177" s="29" t="n">
        <v>4</v>
      </c>
      <c r="O177" s="12" t="inlineStr"/>
      <c r="P177" s="12" t="inlineStr"/>
      <c r="Q177" s="12" t="inlineStr">
        <is>
          <t>AE, AMZ</t>
        </is>
      </c>
      <c r="R177" s="12" t="inlineStr">
        <is>
          <t>Invisible, Home, Wild</t>
        </is>
      </c>
    </row>
    <row r="178" ht="28" customHeight="1">
      <c r="A178" s="25" t="inlineStr">
        <is>
          <t>S174</t>
        </is>
      </c>
      <c r="B178" s="26" t="inlineStr">
        <is>
          <t>RC522 RFID reader</t>
        </is>
      </c>
      <c r="C178" s="12" t="inlineStr">
        <is>
          <t>Identity &amp; Tags</t>
        </is>
      </c>
      <c r="D178" s="12" t="inlineStr">
        <is>
          <t>Card/tag IDs at ~3cm</t>
        </is>
      </c>
      <c r="E178" s="31" t="inlineStr"/>
      <c r="F178" s="12" t="inlineStr">
        <is>
          <t>SPI</t>
        </is>
      </c>
      <c r="G178" s="12" t="inlineStr"/>
      <c r="H178" s="12" t="inlineStr"/>
      <c r="I178" s="12" t="inlineStr"/>
      <c r="J178" s="12" t="inlineStr"/>
      <c r="K178" s="12" t="inlineStr">
        <is>
          <t>26mA</t>
        </is>
      </c>
      <c r="L178" s="29" t="n">
        <v>2</v>
      </c>
      <c r="M178" s="29" t="inlineStr">
        <is>
          <t>$</t>
        </is>
      </c>
      <c r="N178" s="29" t="n">
        <v>1</v>
      </c>
      <c r="O178" s="12" t="inlineStr"/>
      <c r="P178" s="12" t="inlineStr"/>
      <c r="Q178" s="12" t="inlineStr">
        <is>
          <t>AE, AMZ, SF, CE</t>
        </is>
      </c>
      <c r="R178" s="12" t="inlineStr">
        <is>
          <t>Play, Home, Safety</t>
        </is>
      </c>
    </row>
    <row r="179" ht="28" customHeight="1">
      <c r="A179" s="25" t="inlineStr">
        <is>
          <t>S175</t>
        </is>
      </c>
      <c r="B179" s="26" t="inlineStr">
        <is>
          <t>PN532 NFC controller</t>
        </is>
      </c>
      <c r="C179" s="12" t="inlineStr">
        <is>
          <t>Identity &amp; Tags</t>
        </is>
      </c>
      <c r="D179" s="12" t="inlineStr">
        <is>
          <t>NFC read/write + phone P2P + card emulation</t>
        </is>
      </c>
      <c r="E179" s="31" t="inlineStr"/>
      <c r="F179" s="12" t="inlineStr">
        <is>
          <t>I2C/SPI/UART</t>
        </is>
      </c>
      <c r="G179" s="12" t="inlineStr"/>
      <c r="H179" s="12" t="inlineStr"/>
      <c r="I179" s="12" t="inlineStr"/>
      <c r="J179" s="12" t="inlineStr"/>
      <c r="K179" s="12" t="inlineStr">
        <is>
          <t>100mA peak</t>
        </is>
      </c>
      <c r="L179" s="29" t="n">
        <v>6</v>
      </c>
      <c r="M179" s="29" t="inlineStr">
        <is>
          <t>$$</t>
        </is>
      </c>
      <c r="N179" s="29" t="n">
        <v>2</v>
      </c>
      <c r="O179" s="12" t="inlineStr"/>
      <c r="P179" s="12" t="inlineStr"/>
      <c r="Q179" s="12" t="inlineStr">
        <is>
          <t>AE, AF, DK, CE</t>
        </is>
      </c>
      <c r="R179" s="12" t="inlineStr">
        <is>
          <t>Home, Play, Safety</t>
        </is>
      </c>
    </row>
    <row r="180" ht="28" customHeight="1">
      <c r="A180" s="25" t="inlineStr">
        <is>
          <t>S176</t>
        </is>
      </c>
      <c r="B180" s="26" t="inlineStr">
        <is>
          <t>125kHz RDM6300 RFID</t>
        </is>
      </c>
      <c r="C180" s="12" t="inlineStr">
        <is>
          <t>Identity &amp; Tags</t>
        </is>
      </c>
      <c r="D180" s="12" t="inlineStr">
        <is>
          <t>EM4100-class tag IDs incl. pet microchip adjacent</t>
        </is>
      </c>
      <c r="E180" s="31" t="inlineStr"/>
      <c r="F180" s="12" t="inlineStr">
        <is>
          <t>UART</t>
        </is>
      </c>
      <c r="G180" s="12" t="inlineStr"/>
      <c r="H180" s="12" t="inlineStr"/>
      <c r="I180" s="12" t="inlineStr"/>
      <c r="J180" s="12" t="inlineStr"/>
      <c r="K180" s="12" t="inlineStr">
        <is>
          <t>50mA</t>
        </is>
      </c>
      <c r="L180" s="29" t="n">
        <v>3</v>
      </c>
      <c r="M180" s="29" t="inlineStr">
        <is>
          <t>$</t>
        </is>
      </c>
      <c r="N180" s="29" t="n">
        <v>1</v>
      </c>
      <c r="O180" s="12" t="inlineStr"/>
      <c r="P180" s="12" t="inlineStr"/>
      <c r="Q180" s="12" t="inlineStr">
        <is>
          <t>AE, AMZ</t>
        </is>
      </c>
      <c r="R180" s="12" t="inlineStr">
        <is>
          <t>Grow, Home, Safety</t>
        </is>
      </c>
    </row>
    <row r="181" ht="28" customHeight="1">
      <c r="A181" s="25" t="inlineStr">
        <is>
          <t>S177</t>
        </is>
      </c>
      <c r="B181" s="26" t="inlineStr">
        <is>
          <t>FS3000 air velocity</t>
        </is>
      </c>
      <c r="C181" s="12" t="inlineStr">
        <is>
          <t>Weather &amp; Outdoor</t>
        </is>
      </c>
      <c r="D181" s="12" t="inlineStr">
        <is>
          <t>Air speed 0-7.2 or 0-15 m/s (true anemometry, solid-state)</t>
        </is>
      </c>
      <c r="E181" s="31" t="inlineStr"/>
      <c r="F181" s="12" t="inlineStr">
        <is>
          <t>I2C</t>
        </is>
      </c>
      <c r="G181" s="12" t="inlineStr"/>
      <c r="H181" s="12" t="inlineStr"/>
      <c r="I181" s="12" t="inlineStr"/>
      <c r="J181" s="12" t="inlineStr"/>
      <c r="K181" s="12" t="inlineStr">
        <is>
          <t>10mA</t>
        </is>
      </c>
      <c r="L181" s="29" t="n">
        <v>26</v>
      </c>
      <c r="M181" s="29" t="inlineStr">
        <is>
          <t>$$$</t>
        </is>
      </c>
      <c r="N181" s="29" t="n">
        <v>1</v>
      </c>
      <c r="O181" s="12" t="inlineStr"/>
      <c r="P181" s="12" t="inlineStr"/>
      <c r="Q181" s="12" t="inlineStr">
        <is>
          <t>SF, DK, MO</t>
        </is>
      </c>
      <c r="R181" s="12" t="inlineStr">
        <is>
          <t>Air, Home, Energy</t>
        </is>
      </c>
    </row>
    <row r="182" ht="28" customHeight="1">
      <c r="A182" s="25" t="inlineStr">
        <is>
          <t>S178</t>
        </is>
      </c>
      <c r="B182" s="26" t="inlineStr">
        <is>
          <t>LDC1612 inductive sensing</t>
        </is>
      </c>
      <c r="C182" s="12" t="inlineStr">
        <is>
          <t>Industrial &amp; Automotive</t>
        </is>
      </c>
      <c r="D182" s="12" t="inlineStr">
        <is>
          <t>Metal distance/presence/material via coil inductance</t>
        </is>
      </c>
      <c r="E182" s="31" t="inlineStr"/>
      <c r="F182" s="12" t="inlineStr">
        <is>
          <t>I2C/SPI</t>
        </is>
      </c>
      <c r="G182" s="12" t="inlineStr"/>
      <c r="H182" s="12" t="inlineStr"/>
      <c r="I182" s="12" t="inlineStr"/>
      <c r="J182" s="12" t="inlineStr"/>
      <c r="K182" s="12" t="inlineStr">
        <is>
          <t>2mA</t>
        </is>
      </c>
      <c r="L182" s="29" t="n">
        <v>9</v>
      </c>
      <c r="M182" s="29" t="inlineStr">
        <is>
          <t>$$</t>
        </is>
      </c>
      <c r="N182" s="29" t="n">
        <v>4</v>
      </c>
      <c r="O182" s="12" t="inlineStr"/>
      <c r="P182" s="12" t="inlineStr"/>
      <c r="Q182" s="12" t="inlineStr">
        <is>
          <t>DK, MO, AE</t>
        </is>
      </c>
      <c r="R182" s="12" t="inlineStr">
        <is>
          <t>MachineHealth, Invisible</t>
        </is>
      </c>
    </row>
    <row r="183" ht="28" customHeight="1">
      <c r="A183" s="25" t="inlineStr">
        <is>
          <t>S179</t>
        </is>
      </c>
      <c r="B183" s="26" t="inlineStr">
        <is>
          <t>DFRobot Gravity mmWave presence radar</t>
        </is>
      </c>
      <c r="C183" s="12" t="inlineStr">
        <is>
          <t>Presence &amp; Occupancy</t>
        </is>
      </c>
      <c r="D183" s="12" t="inlineStr">
        <is>
          <t>Presence, micro-motion, sleep states at distance</t>
        </is>
      </c>
      <c r="E183" s="31" t="inlineStr"/>
      <c r="F183" s="12" t="inlineStr">
        <is>
          <t>UART</t>
        </is>
      </c>
      <c r="G183" s="12" t="inlineStr"/>
      <c r="H183" s="12" t="inlineStr"/>
      <c r="I183" s="12" t="inlineStr"/>
      <c r="J183" s="12" t="inlineStr"/>
      <c r="K183" s="12" t="inlineStr">
        <is>
          <t>90mA</t>
        </is>
      </c>
      <c r="L183" s="29" t="n">
        <v>22</v>
      </c>
      <c r="M183" s="29" t="inlineStr">
        <is>
          <t>$$$</t>
        </is>
      </c>
      <c r="N183" s="29" t="n">
        <v>3</v>
      </c>
      <c r="O183" s="12" t="inlineStr"/>
      <c r="P183" s="12" t="inlineStr"/>
      <c r="Q183" s="12" t="inlineStr">
        <is>
          <t>DFR, DK, MO</t>
        </is>
      </c>
      <c r="R183" s="12" t="inlineStr">
        <is>
          <t>Home, Health, Invisible</t>
        </is>
      </c>
    </row>
    <row r="184" ht="28" customHeight="1">
      <c r="A184" s="25" t="inlineStr">
        <is>
          <t>S180</t>
        </is>
      </c>
      <c r="B184" s="26" t="inlineStr">
        <is>
          <t>IR flame detector (flicker)</t>
        </is>
      </c>
      <c r="C184" s="12" t="inlineStr">
        <is>
          <t>Light &amp; UV</t>
        </is>
      </c>
      <c r="D184" s="12" t="inlineStr">
        <is>
          <t>Open-flame presence via near-IR flicker (~1-10Hz)</t>
        </is>
      </c>
      <c r="E184" s="31" t="inlineStr"/>
      <c r="F184" s="12" t="inlineStr">
        <is>
          <t>Analog/Digital</t>
        </is>
      </c>
      <c r="G184" s="12" t="inlineStr"/>
      <c r="H184" s="12" t="inlineStr"/>
      <c r="I184" s="12" t="inlineStr"/>
      <c r="J184" s="12" t="inlineStr"/>
      <c r="K184" s="12" t="inlineStr">
        <is>
          <t>&lt;10mA</t>
        </is>
      </c>
      <c r="L184" s="29" t="n">
        <v>2</v>
      </c>
      <c r="M184" s="29" t="inlineStr">
        <is>
          <t>$</t>
        </is>
      </c>
      <c r="N184" s="29" t="n">
        <v>1</v>
      </c>
      <c r="O184" s="12" t="inlineStr"/>
      <c r="P184" s="12" t="inlineStr"/>
      <c r="Q184" s="12" t="inlineStr">
        <is>
          <t>AE, AMZ, DFR</t>
        </is>
      </c>
      <c r="R184" s="12" t="inlineStr">
        <is>
          <t>Safety, Home, MachineHealth</t>
        </is>
      </c>
    </row>
    <row r="185" ht="28" customHeight="1">
      <c r="A185" s="25" t="inlineStr">
        <is>
          <t>S181</t>
        </is>
      </c>
      <c r="B185" s="26" t="inlineStr">
        <is>
          <t>Time-of-flight gesture radar 60GHz</t>
        </is>
      </c>
      <c r="C185" s="12" t="inlineStr">
        <is>
          <t>Presence &amp; Occupancy</t>
        </is>
      </c>
      <c r="D185" s="12" t="inlineStr">
        <is>
          <t>Micro-gestures (finger rubs, swipes) in air via radar</t>
        </is>
      </c>
      <c r="E185" s="31" t="inlineStr"/>
      <c r="F185" s="12" t="inlineStr">
        <is>
          <t>SPI/UART</t>
        </is>
      </c>
      <c r="G185" s="12" t="inlineStr"/>
      <c r="H185" s="12" t="inlineStr"/>
      <c r="I185" s="12" t="inlineStr"/>
      <c r="J185" s="12" t="inlineStr"/>
      <c r="K185" s="12" t="inlineStr">
        <is>
          <t>~150mW</t>
        </is>
      </c>
      <c r="L185" s="29" t="n">
        <v>110</v>
      </c>
      <c r="M185" s="29" t="inlineStr">
        <is>
          <t>$$$$</t>
        </is>
      </c>
      <c r="N185" s="29" t="n">
        <v>5</v>
      </c>
      <c r="O185" s="12" t="inlineStr"/>
      <c r="P185" s="12" t="inlineStr"/>
      <c r="Q185" s="12" t="inlineStr">
        <is>
          <t>DK, MO, SS</t>
        </is>
      </c>
      <c r="R185" s="12" t="inlineStr">
        <is>
          <t>Invisible, Play</t>
        </is>
      </c>
    </row>
    <row r="186" ht="28" customHeight="1">
      <c r="A186" s="25" t="inlineStr">
        <is>
          <t>S182</t>
        </is>
      </c>
      <c r="B186" s="26" t="inlineStr">
        <is>
          <t>Scale-hacking: NAU7802</t>
        </is>
      </c>
      <c r="C186" s="12" t="inlineStr">
        <is>
          <t>Force &amp; Weight</t>
        </is>
      </c>
      <c r="D186" s="12" t="inlineStr">
        <is>
          <t>24-bit bridge ADC — the I2C upgrade to HX711</t>
        </is>
      </c>
      <c r="E186" s="31" t="inlineStr"/>
      <c r="F186" s="12" t="inlineStr">
        <is>
          <t>I2C</t>
        </is>
      </c>
      <c r="G186" s="12" t="inlineStr"/>
      <c r="H186" s="12" t="inlineStr"/>
      <c r="I186" s="12" t="inlineStr"/>
      <c r="J186" s="12" t="inlineStr"/>
      <c r="K186" s="12" t="inlineStr">
        <is>
          <t>2mA</t>
        </is>
      </c>
      <c r="L186" s="29" t="n">
        <v>12</v>
      </c>
      <c r="M186" s="29" t="inlineStr">
        <is>
          <t>$$</t>
        </is>
      </c>
      <c r="N186" s="29" t="n">
        <v>2</v>
      </c>
      <c r="O186" s="12" t="inlineStr"/>
      <c r="P186" s="12" t="inlineStr"/>
      <c r="Q186" s="12" t="inlineStr">
        <is>
          <t>SF, AF, DK</t>
        </is>
      </c>
      <c r="R186" s="12" t="inlineStr">
        <is>
          <t>Health, Play, MachineHealth</t>
        </is>
      </c>
    </row>
    <row r="187" ht="28" customHeight="1">
      <c r="A187" s="25" t="inlineStr">
        <is>
          <t>S183</t>
        </is>
      </c>
      <c r="B187" s="26" t="inlineStr">
        <is>
          <t>Thermal flow: SDP + thermistor DIY</t>
        </is>
      </c>
      <c r="C187" s="12" t="inlineStr">
        <is>
          <t>Frontier Sensing</t>
        </is>
      </c>
      <c r="D187" s="12" t="inlineStr">
        <is>
          <t>Gas mass-flow (breath, brew airlocks, vents)</t>
        </is>
      </c>
      <c r="E187" s="31" t="inlineStr"/>
      <c r="F187" s="12" t="inlineStr">
        <is>
          <t>I2C</t>
        </is>
      </c>
      <c r="G187" s="12" t="inlineStr"/>
      <c r="H187" s="12" t="inlineStr"/>
      <c r="I187" s="12" t="inlineStr"/>
      <c r="J187" s="12" t="inlineStr"/>
      <c r="K187" s="12" t="inlineStr">
        <is>
          <t>varies</t>
        </is>
      </c>
      <c r="L187" s="29" t="n">
        <v>40</v>
      </c>
      <c r="M187" s="29" t="inlineStr">
        <is>
          <t>$$$</t>
        </is>
      </c>
      <c r="N187" s="29" t="n">
        <v>5</v>
      </c>
      <c r="O187" s="12" t="inlineStr"/>
      <c r="P187" s="12" t="inlineStr"/>
      <c r="Q187" s="12" t="inlineStr">
        <is>
          <t>DK, MO</t>
        </is>
      </c>
      <c r="R187" s="12" t="inlineStr">
        <is>
          <t>Health, Grow, Air</t>
        </is>
      </c>
    </row>
    <row r="188" ht="28" customHeight="1">
      <c r="A188" s="25" t="inlineStr">
        <is>
          <t>S184</t>
        </is>
      </c>
      <c r="B188" s="26" t="inlineStr">
        <is>
          <t>MQ-8 hydrogen sensor</t>
        </is>
      </c>
      <c r="C188" s="12" t="inlineStr">
        <is>
          <t>Gas &amp; VOC</t>
        </is>
      </c>
      <c r="D188" s="12" t="inlineStr">
        <is>
          <t>Hydrogen gas 100-10000ppm (qualitative)</t>
        </is>
      </c>
      <c r="E188" s="31" t="inlineStr"/>
      <c r="F188" s="12" t="inlineStr">
        <is>
          <t>Analog</t>
        </is>
      </c>
      <c r="G188" s="12" t="inlineStr"/>
      <c r="H188" s="12" t="inlineStr"/>
      <c r="I188" s="12" t="inlineStr"/>
      <c r="J188" s="12" t="inlineStr"/>
      <c r="K188" s="12" t="inlineStr">
        <is>
          <t>150mA (MQ)</t>
        </is>
      </c>
      <c r="L188" s="29" t="n">
        <v>4</v>
      </c>
      <c r="M188" s="29" t="inlineStr">
        <is>
          <t>$</t>
        </is>
      </c>
      <c r="N188" s="29" t="n">
        <v>2</v>
      </c>
      <c r="O188" s="12" t="inlineStr"/>
      <c r="P188" s="12" t="inlineStr"/>
      <c r="Q188" s="12" t="inlineStr">
        <is>
          <t>AE, DFR, DK</t>
        </is>
      </c>
      <c r="R188" s="12" t="inlineStr">
        <is>
          <t>Energy, Safety, Invisible</t>
        </is>
      </c>
    </row>
    <row r="189" ht="28" customHeight="1">
      <c r="A189" s="25" t="inlineStr">
        <is>
          <t>S185</t>
        </is>
      </c>
      <c r="B189" s="26" t="inlineStr">
        <is>
          <t>Weight-in-motion: piezo cable</t>
        </is>
      </c>
      <c r="C189" s="12" t="inlineStr">
        <is>
          <t>Motion &amp; Vibration</t>
        </is>
      </c>
      <c r="D189" s="12" t="inlineStr">
        <is>
          <t>Vehicles/people crossing a line (speed + count)</t>
        </is>
      </c>
      <c r="E189" s="31" t="inlineStr"/>
      <c r="F189" s="12" t="inlineStr">
        <is>
          <t>Analog</t>
        </is>
      </c>
      <c r="G189" s="12" t="inlineStr"/>
      <c r="H189" s="12" t="inlineStr"/>
      <c r="I189" s="12" t="inlineStr"/>
      <c r="J189" s="12" t="inlineStr"/>
      <c r="K189" s="12" t="inlineStr">
        <is>
          <t>0</t>
        </is>
      </c>
      <c r="L189" s="29" t="n">
        <v>15</v>
      </c>
      <c r="M189" s="29" t="inlineStr">
        <is>
          <t>$$$</t>
        </is>
      </c>
      <c r="N189" s="29" t="n">
        <v>4</v>
      </c>
      <c r="O189" s="12" t="inlineStr"/>
      <c r="P189" s="12" t="inlineStr"/>
      <c r="Q189" s="12" t="inlineStr">
        <is>
          <t>AE, DK</t>
        </is>
      </c>
      <c r="R189" s="12" t="inlineStr">
        <is>
          <t>Wild, Safety, Invisible</t>
        </is>
      </c>
    </row>
    <row r="190" ht="28" customHeight="1">
      <c r="A190" s="25" t="inlineStr">
        <is>
          <t>S186</t>
        </is>
      </c>
      <c r="B190" s="26" t="inlineStr">
        <is>
          <t>Watermark granular-matrix soil water sensor</t>
        </is>
      </c>
      <c r="C190" s="12" t="inlineStr">
        <is>
          <t>Soil &amp; Agriculture</t>
        </is>
      </c>
      <c r="D190" s="12" t="inlineStr">
        <is>
          <t>Soil water tension / matric potential (what roots actually feel), 0-239 kPa</t>
        </is>
      </c>
      <c r="E190" s="31" t="inlineStr"/>
      <c r="F190" s="12" t="inlineStr">
        <is>
          <t>Analog</t>
        </is>
      </c>
      <c r="G190" s="12" t="inlineStr"/>
      <c r="H190" s="12" t="inlineStr"/>
      <c r="I190" s="12" t="inlineStr"/>
      <c r="J190" s="12" t="inlineStr"/>
      <c r="K190" s="12" t="inlineStr">
        <is>
          <t>µA duty</t>
        </is>
      </c>
      <c r="L190" s="29" t="n">
        <v>45</v>
      </c>
      <c r="M190" s="29" t="inlineStr">
        <is>
          <t>$$$</t>
        </is>
      </c>
      <c r="N190" s="29" t="n">
        <v>4</v>
      </c>
      <c r="O190" s="12" t="inlineStr"/>
      <c r="P190" s="12" t="inlineStr"/>
      <c r="Q190" s="12" t="inlineStr">
        <is>
          <t>IRR, DK</t>
        </is>
      </c>
      <c r="R190" s="12" t="inlineStr">
        <is>
          <t>Grow, Water, Wild</t>
        </is>
      </c>
    </row>
    <row r="191" ht="28" customHeight="1">
      <c r="A191" s="25" t="inlineStr">
        <is>
          <t>S187</t>
        </is>
      </c>
      <c r="B191" s="26" t="inlineStr">
        <is>
          <t>Muon detector (CosmicWatch)</t>
        </is>
      </c>
      <c r="C191" s="12" t="inlineStr">
        <is>
          <t>Radiation &amp; Nuclear</t>
        </is>
      </c>
      <c r="D191" s="12" t="inlineStr">
        <is>
          <t>Cosmic-ray muons passing through a scintillator</t>
        </is>
      </c>
      <c r="E191" s="31" t="inlineStr"/>
      <c r="F191" s="12" t="inlineStr">
        <is>
          <t>Pulse/Analog</t>
        </is>
      </c>
      <c r="G191" s="12" t="inlineStr"/>
      <c r="H191" s="12" t="inlineStr"/>
      <c r="I191" s="12" t="inlineStr"/>
      <c r="J191" s="12" t="inlineStr"/>
      <c r="K191" s="12" t="inlineStr">
        <is>
          <t>~0.5W</t>
        </is>
      </c>
      <c r="L191" s="29" t="n">
        <v>100</v>
      </c>
      <c r="M191" s="29" t="inlineStr">
        <is>
          <t>$$$$</t>
        </is>
      </c>
      <c r="N191" s="29" t="n">
        <v>5</v>
      </c>
      <c r="O191" s="12" t="inlineStr"/>
      <c r="P191" s="12" t="inlineStr"/>
      <c r="Q191" s="12" t="inlineStr">
        <is>
          <t>DIY, AE</t>
        </is>
      </c>
      <c r="R191" s="12" t="inlineStr">
        <is>
          <t>Invisible, Play, Wild</t>
        </is>
      </c>
    </row>
    <row r="192" ht="28" customHeight="1">
      <c r="A192" s="25" t="inlineStr">
        <is>
          <t>S188</t>
        </is>
      </c>
      <c r="B192" s="26" t="inlineStr">
        <is>
          <t>Scintillating gamma spectrometer</t>
        </is>
      </c>
      <c r="C192" s="12" t="inlineStr">
        <is>
          <t>Radiation &amp; Nuclear</t>
        </is>
      </c>
      <c r="D192" s="12" t="inlineStr">
        <is>
          <t>WHICH radioactive isotope (energy spectrum, not just counts)</t>
        </is>
      </c>
      <c r="E192" s="31" t="inlineStr"/>
      <c r="F192" s="12" t="inlineStr">
        <is>
          <t>Analog</t>
        </is>
      </c>
      <c r="G192" s="12" t="inlineStr"/>
      <c r="H192" s="12" t="inlineStr"/>
      <c r="I192" s="12" t="inlineStr"/>
      <c r="J192" s="12" t="inlineStr"/>
      <c r="K192" s="12" t="inlineStr">
        <is>
          <t>~0.5W</t>
        </is>
      </c>
      <c r="L192" s="29" t="n">
        <v>150</v>
      </c>
      <c r="M192" s="29" t="inlineStr">
        <is>
          <t>$$$$</t>
        </is>
      </c>
      <c r="N192" s="29" t="n">
        <v>5</v>
      </c>
      <c r="O192" s="12" t="inlineStr"/>
      <c r="P192" s="12" t="inlineStr"/>
      <c r="Q192" s="12" t="inlineStr">
        <is>
          <t>AE, DIY</t>
        </is>
      </c>
      <c r="R192" s="12" t="inlineStr">
        <is>
          <t>Invisible, Wild, Play</t>
        </is>
      </c>
    </row>
    <row r="193" ht="28" customHeight="1">
      <c r="A193" s="25" t="inlineStr">
        <is>
          <t>S189</t>
        </is>
      </c>
      <c r="B193" s="26" t="inlineStr">
        <is>
          <t>AHT20 temp/humidity</t>
        </is>
      </c>
      <c r="C193" s="12" t="inlineStr">
        <is>
          <t>Humidity &amp; Moisture</t>
        </is>
      </c>
      <c r="D193" s="12" t="inlineStr">
        <is>
          <t>RH + temperature, the modern DHT replacement</t>
        </is>
      </c>
      <c r="E193" s="31" t="inlineStr"/>
      <c r="F193" s="12" t="inlineStr">
        <is>
          <t>I2C</t>
        </is>
      </c>
      <c r="G193" s="12" t="inlineStr"/>
      <c r="H193" s="12" t="inlineStr"/>
      <c r="I193" s="12" t="inlineStr"/>
      <c r="J193" s="12" t="inlineStr"/>
      <c r="K193" s="12" t="inlineStr">
        <is>
          <t>980µA meas</t>
        </is>
      </c>
      <c r="L193" s="29" t="n">
        <v>2</v>
      </c>
      <c r="M193" s="29" t="inlineStr">
        <is>
          <t>$</t>
        </is>
      </c>
      <c r="N193" s="29" t="n">
        <v>1</v>
      </c>
      <c r="O193" s="12" t="inlineStr"/>
      <c r="P193" s="12" t="inlineStr"/>
      <c r="Q193" s="12" t="inlineStr">
        <is>
          <t>AE, AF, DFR</t>
        </is>
      </c>
      <c r="R193" s="12" t="inlineStr">
        <is>
          <t>Home, Grow</t>
        </is>
      </c>
    </row>
    <row r="194" ht="28" customHeight="1">
      <c r="A194" s="25" t="inlineStr">
        <is>
          <t>S190</t>
        </is>
      </c>
      <c r="B194" s="26" t="inlineStr">
        <is>
          <t>Si7021 humidity/temp</t>
        </is>
      </c>
      <c r="C194" s="12" t="inlineStr">
        <is>
          <t>Humidity &amp; Moisture</t>
        </is>
      </c>
      <c r="D194" s="12" t="inlineStr">
        <is>
          <t>RH + temp with protective cover option</t>
        </is>
      </c>
      <c r="E194" s="31" t="inlineStr"/>
      <c r="F194" s="12" t="inlineStr">
        <is>
          <t>I2C</t>
        </is>
      </c>
      <c r="G194" s="12" t="inlineStr"/>
      <c r="H194" s="12" t="inlineStr"/>
      <c r="I194" s="12" t="inlineStr"/>
      <c r="J194" s="12" t="inlineStr"/>
      <c r="K194" s="12" t="inlineStr">
        <is>
          <t>150µA</t>
        </is>
      </c>
      <c r="L194" s="29" t="n">
        <v>4</v>
      </c>
      <c r="M194" s="29" t="inlineStr">
        <is>
          <t>$</t>
        </is>
      </c>
      <c r="N194" s="29" t="n">
        <v>1</v>
      </c>
      <c r="O194" s="12" t="inlineStr"/>
      <c r="P194" s="12" t="inlineStr"/>
      <c r="Q194" s="12" t="inlineStr">
        <is>
          <t>AF, SF, AE, DK</t>
        </is>
      </c>
      <c r="R194" s="12" t="inlineStr">
        <is>
          <t>Home, Grow</t>
        </is>
      </c>
    </row>
    <row r="195" ht="28" customHeight="1">
      <c r="A195" s="25" t="inlineStr">
        <is>
          <t>S191</t>
        </is>
      </c>
      <c r="B195" s="26" t="inlineStr">
        <is>
          <t>SHTC3 tiny low-power RH/T</t>
        </is>
      </c>
      <c r="C195" s="12" t="inlineStr">
        <is>
          <t>Humidity &amp; Moisture</t>
        </is>
      </c>
      <c r="D195" s="12" t="inlineStr">
        <is>
          <t>RH + temp at micro power in 2x2mm</t>
        </is>
      </c>
      <c r="E195" s="31" t="inlineStr"/>
      <c r="F195" s="12" t="inlineStr">
        <is>
          <t>I2C</t>
        </is>
      </c>
      <c r="G195" s="12" t="inlineStr"/>
      <c r="H195" s="12" t="inlineStr"/>
      <c r="I195" s="12" t="inlineStr"/>
      <c r="J195" s="12" t="inlineStr"/>
      <c r="K195" s="12" t="inlineStr">
        <is>
          <t>0.4µA avg @1Hz LP</t>
        </is>
      </c>
      <c r="L195" s="29" t="n">
        <v>4</v>
      </c>
      <c r="M195" s="29" t="inlineStr">
        <is>
          <t>$</t>
        </is>
      </c>
      <c r="N195" s="29" t="n">
        <v>1</v>
      </c>
      <c r="O195" s="12" t="inlineStr"/>
      <c r="P195" s="12" t="inlineStr"/>
      <c r="Q195" s="12" t="inlineStr">
        <is>
          <t>AF, SF, DK</t>
        </is>
      </c>
      <c r="R195" s="12" t="inlineStr">
        <is>
          <t>Wild, Energy, Home</t>
        </is>
      </c>
    </row>
    <row r="196" ht="28" customHeight="1">
      <c r="A196" s="25" t="inlineStr">
        <is>
          <t>S192</t>
        </is>
      </c>
      <c r="B196" s="26" t="inlineStr">
        <is>
          <t>BMP280 budget barometer</t>
        </is>
      </c>
      <c r="C196" s="12" t="inlineStr">
        <is>
          <t>Pressure &amp; Altitude</t>
        </is>
      </c>
      <c r="D196" s="12" t="inlineStr">
        <is>
          <t>Pressure + temp (the $1 altimeter)</t>
        </is>
      </c>
      <c r="E196" s="31" t="inlineStr"/>
      <c r="F196" s="12" t="inlineStr">
        <is>
          <t>I2C/SPI</t>
        </is>
      </c>
      <c r="G196" s="12" t="inlineStr"/>
      <c r="H196" s="12" t="inlineStr"/>
      <c r="I196" s="12" t="inlineStr"/>
      <c r="J196" s="12" t="inlineStr"/>
      <c r="K196" s="12" t="inlineStr">
        <is>
          <t>2.7µA @1Hz</t>
        </is>
      </c>
      <c r="L196" s="29" t="n">
        <v>1.5</v>
      </c>
      <c r="M196" s="29" t="inlineStr">
        <is>
          <t>$</t>
        </is>
      </c>
      <c r="N196" s="29" t="n">
        <v>1</v>
      </c>
      <c r="O196" s="12" t="inlineStr"/>
      <c r="P196" s="12" t="inlineStr"/>
      <c r="Q196" s="12" t="inlineStr">
        <is>
          <t>AE, AMZ, DFR, CE</t>
        </is>
      </c>
      <c r="R196" s="12" t="inlineStr">
        <is>
          <t>Play, Wild</t>
        </is>
      </c>
    </row>
    <row r="197" ht="28" customHeight="1">
      <c r="A197" s="25" t="inlineStr">
        <is>
          <t>S193</t>
        </is>
      </c>
      <c r="B197" s="26" t="inlineStr">
        <is>
          <t>TSL2561 lux sensor</t>
        </is>
      </c>
      <c r="C197" s="12" t="inlineStr">
        <is>
          <t>Light &amp; UV</t>
        </is>
      </c>
      <c r="D197" s="12" t="inlineStr">
        <is>
          <t>Lux with IR compensation, legacy favourite</t>
        </is>
      </c>
      <c r="E197" s="31" t="inlineStr"/>
      <c r="F197" s="12" t="inlineStr">
        <is>
          <t>I2C</t>
        </is>
      </c>
      <c r="G197" s="12" t="inlineStr"/>
      <c r="H197" s="12" t="inlineStr"/>
      <c r="I197" s="12" t="inlineStr"/>
      <c r="J197" s="12" t="inlineStr"/>
      <c r="K197" s="12" t="inlineStr">
        <is>
          <t>240µA</t>
        </is>
      </c>
      <c r="L197" s="29" t="n">
        <v>4</v>
      </c>
      <c r="M197" s="29" t="inlineStr">
        <is>
          <t>$</t>
        </is>
      </c>
      <c r="N197" s="29" t="n">
        <v>1</v>
      </c>
      <c r="O197" s="12" t="inlineStr"/>
      <c r="P197" s="12" t="inlineStr"/>
      <c r="Q197" s="12" t="inlineStr">
        <is>
          <t>AF, AE, DK, CE</t>
        </is>
      </c>
      <c r="R197" s="12" t="inlineStr">
        <is>
          <t>Home, Grow</t>
        </is>
      </c>
    </row>
    <row r="198" ht="28" customHeight="1">
      <c r="A198" s="25" t="inlineStr">
        <is>
          <t>S194</t>
        </is>
      </c>
      <c r="B198" s="26" t="inlineStr">
        <is>
          <t>MAX44009 ultra-low-power lux</t>
        </is>
      </c>
      <c r="C198" s="12" t="inlineStr">
        <is>
          <t>Light &amp; UV</t>
        </is>
      </c>
      <c r="D198" s="12" t="inlineStr">
        <is>
          <t>Lux 0.045-188,000 at 0.65µA</t>
        </is>
      </c>
      <c r="E198" s="31" t="inlineStr"/>
      <c r="F198" s="12" t="inlineStr">
        <is>
          <t>I2C</t>
        </is>
      </c>
      <c r="G198" s="12" t="inlineStr"/>
      <c r="H198" s="12" t="inlineStr"/>
      <c r="I198" s="12" t="inlineStr"/>
      <c r="J198" s="12" t="inlineStr"/>
      <c r="K198" s="12" t="inlineStr">
        <is>
          <t>0.65µA (!)</t>
        </is>
      </c>
      <c r="L198" s="29" t="n">
        <v>3</v>
      </c>
      <c r="M198" s="29" t="inlineStr">
        <is>
          <t>$</t>
        </is>
      </c>
      <c r="N198" s="29" t="n">
        <v>1</v>
      </c>
      <c r="O198" s="12" t="inlineStr"/>
      <c r="P198" s="12" t="inlineStr"/>
      <c r="Q198" s="12" t="inlineStr">
        <is>
          <t>AE, DK, MO</t>
        </is>
      </c>
      <c r="R198" s="12" t="inlineStr">
        <is>
          <t>Energy, Wild</t>
        </is>
      </c>
    </row>
    <row r="199" ht="28" customHeight="1">
      <c r="A199" s="25" t="inlineStr">
        <is>
          <t>S195</t>
        </is>
      </c>
      <c r="B199" s="26" t="inlineStr">
        <is>
          <t>SI1145 UV/IR/visible</t>
        </is>
      </c>
      <c r="C199" s="12" t="inlineStr">
        <is>
          <t>Light &amp; UV</t>
        </is>
      </c>
      <c r="D199" s="12" t="inlineStr">
        <is>
          <t>UV index (computed), visible, IR + proximity</t>
        </is>
      </c>
      <c r="E199" s="31" t="inlineStr"/>
      <c r="F199" s="12" t="inlineStr">
        <is>
          <t>I2C</t>
        </is>
      </c>
      <c r="G199" s="12" t="inlineStr"/>
      <c r="H199" s="12" t="inlineStr"/>
      <c r="I199" s="12" t="inlineStr"/>
      <c r="J199" s="12" t="inlineStr"/>
      <c r="K199" s="12" t="inlineStr">
        <is>
          <t>9µA standby</t>
        </is>
      </c>
      <c r="L199" s="29" t="n">
        <v>8</v>
      </c>
      <c r="M199" s="29" t="inlineStr">
        <is>
          <t>$$</t>
        </is>
      </c>
      <c r="N199" s="29" t="n">
        <v>1</v>
      </c>
      <c r="O199" s="12" t="inlineStr"/>
      <c r="P199" s="12" t="inlineStr"/>
      <c r="Q199" s="12" t="inlineStr">
        <is>
          <t>AF, AE, DK</t>
        </is>
      </c>
      <c r="R199" s="12" t="inlineStr">
        <is>
          <t>Health, Wild</t>
        </is>
      </c>
    </row>
    <row r="200" ht="28" customHeight="1">
      <c r="A200" s="25" t="inlineStr">
        <is>
          <t>S196</t>
        </is>
      </c>
      <c r="B200" s="26" t="inlineStr">
        <is>
          <t>VCNL4040 proximity + lux</t>
        </is>
      </c>
      <c r="C200" s="12" t="inlineStr">
        <is>
          <t>Distance &amp; Ranging</t>
        </is>
      </c>
      <c r="D200" s="12" t="inlineStr">
        <is>
          <t>Proximity 0-20cm + ambient light, no dead zone</t>
        </is>
      </c>
      <c r="E200" s="31" t="inlineStr"/>
      <c r="F200" s="12" t="inlineStr">
        <is>
          <t>I2C</t>
        </is>
      </c>
      <c r="G200" s="12" t="inlineStr"/>
      <c r="H200" s="12" t="inlineStr"/>
      <c r="I200" s="12" t="inlineStr"/>
      <c r="J200" s="12" t="inlineStr"/>
      <c r="K200" s="12" t="inlineStr">
        <is>
          <t>300µA</t>
        </is>
      </c>
      <c r="L200" s="29" t="n">
        <v>6</v>
      </c>
      <c r="M200" s="29" t="inlineStr">
        <is>
          <t>$$</t>
        </is>
      </c>
      <c r="N200" s="29" t="n">
        <v>1</v>
      </c>
      <c r="O200" s="12" t="inlineStr"/>
      <c r="P200" s="12" t="inlineStr"/>
      <c r="Q200" s="12" t="inlineStr">
        <is>
          <t>SF, AF, DK</t>
        </is>
      </c>
      <c r="R200" s="12" t="inlineStr">
        <is>
          <t>Home, Play</t>
        </is>
      </c>
    </row>
    <row r="201" ht="28" customHeight="1">
      <c r="A201" s="25" t="inlineStr">
        <is>
          <t>S197</t>
        </is>
      </c>
      <c r="B201" s="26" t="inlineStr">
        <is>
          <t>US-100 ultrasonic w/ temp comp</t>
        </is>
      </c>
      <c r="C201" s="12" t="inlineStr">
        <is>
          <t>Distance &amp; Ranging</t>
        </is>
      </c>
      <c r="D201" s="12" t="inlineStr">
        <is>
          <t>2-450cm with temperature-corrected speed of sound</t>
        </is>
      </c>
      <c r="E201" s="31" t="inlineStr"/>
      <c r="F201" s="12" t="inlineStr">
        <is>
          <t>UART/Pulse</t>
        </is>
      </c>
      <c r="G201" s="12" t="inlineStr"/>
      <c r="H201" s="12" t="inlineStr"/>
      <c r="I201" s="12" t="inlineStr"/>
      <c r="J201" s="12" t="inlineStr"/>
      <c r="K201" s="12" t="inlineStr">
        <is>
          <t>2mA avg</t>
        </is>
      </c>
      <c r="L201" s="29" t="n">
        <v>4</v>
      </c>
      <c r="M201" s="29" t="inlineStr">
        <is>
          <t>$</t>
        </is>
      </c>
      <c r="N201" s="29" t="n">
        <v>1</v>
      </c>
      <c r="O201" s="12" t="inlineStr"/>
      <c r="P201" s="12" t="inlineStr"/>
      <c r="Q201" s="12" t="inlineStr">
        <is>
          <t>AE, AMZ</t>
        </is>
      </c>
      <c r="R201" s="12" t="inlineStr">
        <is>
          <t>Wild, Water, Home</t>
        </is>
      </c>
    </row>
    <row r="202" ht="28" customHeight="1">
      <c r="A202" s="25" t="inlineStr">
        <is>
          <t>S198</t>
        </is>
      </c>
      <c r="B202" s="26" t="inlineStr">
        <is>
          <t>MaxBotix MB7389 weather LV</t>
        </is>
      </c>
      <c r="C202" s="12" t="inlineStr">
        <is>
          <t>Distance &amp; Ranging</t>
        </is>
      </c>
      <c r="D202" s="12" t="inlineStr">
        <is>
          <t>30cm-5m outdoor-rated precision ultrasonic</t>
        </is>
      </c>
      <c r="E202" s="31" t="inlineStr"/>
      <c r="F202" s="12" t="inlineStr">
        <is>
          <t>UART/PWM/Analog</t>
        </is>
      </c>
      <c r="G202" s="12" t="inlineStr"/>
      <c r="H202" s="12" t="inlineStr"/>
      <c r="I202" s="12" t="inlineStr"/>
      <c r="J202" s="12" t="inlineStr"/>
      <c r="K202" s="12" t="inlineStr">
        <is>
          <t>3mA avg</t>
        </is>
      </c>
      <c r="L202" s="29" t="n">
        <v>110</v>
      </c>
      <c r="M202" s="29" t="inlineStr">
        <is>
          <t>$$$$</t>
        </is>
      </c>
      <c r="N202" s="29" t="n">
        <v>1</v>
      </c>
      <c r="O202" s="12" t="inlineStr"/>
      <c r="P202" s="12" t="inlineStr"/>
      <c r="Q202" s="12" t="inlineStr">
        <is>
          <t>MX, DK, MO</t>
        </is>
      </c>
      <c r="R202" s="12" t="inlineStr">
        <is>
          <t>Water, Wild, Safety</t>
        </is>
      </c>
    </row>
    <row r="203" ht="28" customHeight="1">
      <c r="A203" s="25" t="inlineStr">
        <is>
          <t>S199</t>
        </is>
      </c>
      <c r="B203" s="26" t="inlineStr">
        <is>
          <t>MQ-4 methane / natural gas</t>
        </is>
      </c>
      <c r="C203" s="12" t="inlineStr">
        <is>
          <t>Gas &amp; VOC</t>
        </is>
      </c>
      <c r="D203" s="12" t="inlineStr">
        <is>
          <t>Methane/natural gas 200-10000ppm</t>
        </is>
      </c>
      <c r="E203" s="31" t="inlineStr"/>
      <c r="F203" s="12" t="inlineStr">
        <is>
          <t>Analog</t>
        </is>
      </c>
      <c r="G203" s="12" t="inlineStr"/>
      <c r="H203" s="12" t="inlineStr"/>
      <c r="I203" s="12" t="inlineStr"/>
      <c r="J203" s="12" t="inlineStr"/>
      <c r="K203" s="12" t="inlineStr">
        <is>
          <t>150mA</t>
        </is>
      </c>
      <c r="L203" s="29" t="n">
        <v>2.5</v>
      </c>
      <c r="M203" s="29" t="inlineStr">
        <is>
          <t>$</t>
        </is>
      </c>
      <c r="N203" s="29" t="n">
        <v>2</v>
      </c>
      <c r="O203" s="12" t="inlineStr"/>
      <c r="P203" s="12" t="inlineStr"/>
      <c r="Q203" s="12" t="inlineStr">
        <is>
          <t>AE, AMZ, DFR</t>
        </is>
      </c>
      <c r="R203" s="12" t="inlineStr">
        <is>
          <t>Safety, Home</t>
        </is>
      </c>
    </row>
    <row r="204" ht="28" customHeight="1">
      <c r="A204" s="25" t="inlineStr">
        <is>
          <t>S200</t>
        </is>
      </c>
      <c r="B204" s="26" t="inlineStr">
        <is>
          <t>MQ-6 LPG/propane</t>
        </is>
      </c>
      <c r="C204" s="12" t="inlineStr">
        <is>
          <t>Gas &amp; VOC</t>
        </is>
      </c>
      <c r="D204" s="12" t="inlineStr">
        <is>
          <t>LPG/propane/isobutane 200-10000ppm</t>
        </is>
      </c>
      <c r="E204" s="31" t="inlineStr"/>
      <c r="F204" s="12" t="inlineStr">
        <is>
          <t>Analog</t>
        </is>
      </c>
      <c r="G204" s="12" t="inlineStr"/>
      <c r="H204" s="12" t="inlineStr"/>
      <c r="I204" s="12" t="inlineStr"/>
      <c r="J204" s="12" t="inlineStr"/>
      <c r="K204" s="12" t="inlineStr">
        <is>
          <t>150mA</t>
        </is>
      </c>
      <c r="L204" s="29" t="n">
        <v>2.5</v>
      </c>
      <c r="M204" s="29" t="inlineStr">
        <is>
          <t>$</t>
        </is>
      </c>
      <c r="N204" s="29" t="n">
        <v>2</v>
      </c>
      <c r="O204" s="12" t="inlineStr"/>
      <c r="P204" s="12" t="inlineStr"/>
      <c r="Q204" s="12" t="inlineStr">
        <is>
          <t>AE, AMZ, DFR</t>
        </is>
      </c>
      <c r="R204" s="12" t="inlineStr">
        <is>
          <t>Safety, Home, Wild</t>
        </is>
      </c>
    </row>
    <row r="205" ht="28" customHeight="1">
      <c r="A205" s="25" t="inlineStr">
        <is>
          <t>S201</t>
        </is>
      </c>
      <c r="B205" s="26" t="inlineStr">
        <is>
          <t>MQ-131 ozone</t>
        </is>
      </c>
      <c r="C205" s="12" t="inlineStr">
        <is>
          <t>Gas &amp; VOC</t>
        </is>
      </c>
      <c r="D205" s="12" t="inlineStr">
        <is>
          <t>Ozone 10ppb-2ppm</t>
        </is>
      </c>
      <c r="E205" s="31" t="inlineStr"/>
      <c r="F205" s="12" t="inlineStr">
        <is>
          <t>Analog</t>
        </is>
      </c>
      <c r="G205" s="12" t="inlineStr"/>
      <c r="H205" s="12" t="inlineStr"/>
      <c r="I205" s="12" t="inlineStr"/>
      <c r="J205" s="12" t="inlineStr"/>
      <c r="K205" s="12" t="inlineStr">
        <is>
          <t>150mA</t>
        </is>
      </c>
      <c r="L205" s="29" t="n">
        <v>30</v>
      </c>
      <c r="M205" s="29" t="inlineStr">
        <is>
          <t>$$$</t>
        </is>
      </c>
      <c r="N205" s="29" t="n">
        <v>3</v>
      </c>
      <c r="O205" s="12" t="inlineStr"/>
      <c r="P205" s="12" t="inlineStr"/>
      <c r="Q205" s="12" t="inlineStr">
        <is>
          <t>AE, DFR, DK</t>
        </is>
      </c>
      <c r="R205" s="12" t="inlineStr">
        <is>
          <t>Air, Health, Safety</t>
        </is>
      </c>
    </row>
    <row r="206" ht="28" customHeight="1">
      <c r="A206" s="25" t="inlineStr">
        <is>
          <t>S202</t>
        </is>
      </c>
      <c r="B206" s="26" t="inlineStr">
        <is>
          <t>AGS02MA TVOC budget</t>
        </is>
      </c>
      <c r="C206" s="12" t="inlineStr">
        <is>
          <t>Gas &amp; VOC</t>
        </is>
      </c>
      <c r="D206" s="12" t="inlineStr">
        <is>
          <t>TVOC ppb on a tiny cheap board</t>
        </is>
      </c>
      <c r="E206" s="31" t="inlineStr"/>
      <c r="F206" s="12" t="inlineStr">
        <is>
          <t>I2C</t>
        </is>
      </c>
      <c r="G206" s="12" t="inlineStr"/>
      <c r="H206" s="12" t="inlineStr"/>
      <c r="I206" s="12" t="inlineStr"/>
      <c r="J206" s="12" t="inlineStr"/>
      <c r="K206" s="12" t="inlineStr">
        <is>
          <t>11mA</t>
        </is>
      </c>
      <c r="L206" s="29" t="n">
        <v>4</v>
      </c>
      <c r="M206" s="29" t="inlineStr">
        <is>
          <t>$</t>
        </is>
      </c>
      <c r="N206" s="29" t="n">
        <v>2</v>
      </c>
      <c r="O206" s="12" t="inlineStr"/>
      <c r="P206" s="12" t="inlineStr"/>
      <c r="Q206" s="12" t="inlineStr">
        <is>
          <t>AE, AF</t>
        </is>
      </c>
      <c r="R206" s="12" t="inlineStr">
        <is>
          <t>Air, MachineHealth, Home</t>
        </is>
      </c>
    </row>
    <row r="207" ht="28" customHeight="1">
      <c r="A207" s="25" t="inlineStr">
        <is>
          <t>S203</t>
        </is>
      </c>
      <c r="B207" s="26" t="inlineStr">
        <is>
          <t>Panasonic EKMC PIR (quality)</t>
        </is>
      </c>
      <c r="C207" s="12" t="inlineStr">
        <is>
          <t>Presence &amp; Occupancy</t>
        </is>
      </c>
      <c r="D207" s="12" t="inlineStr">
        <is>
          <t>Motion, 12m, engineered optics &amp; specs</t>
        </is>
      </c>
      <c r="E207" s="31" t="inlineStr"/>
      <c r="F207" s="12" t="inlineStr">
        <is>
          <t>Digital</t>
        </is>
      </c>
      <c r="G207" s="12" t="inlineStr"/>
      <c r="H207" s="12" t="inlineStr"/>
      <c r="I207" s="12" t="inlineStr"/>
      <c r="J207" s="12" t="inlineStr"/>
      <c r="K207" s="12" t="inlineStr">
        <is>
          <t>170µA</t>
        </is>
      </c>
      <c r="L207" s="29" t="n">
        <v>12</v>
      </c>
      <c r="M207" s="29" t="inlineStr">
        <is>
          <t>$$</t>
        </is>
      </c>
      <c r="N207" s="29" t="n">
        <v>1</v>
      </c>
      <c r="O207" s="12" t="inlineStr"/>
      <c r="P207" s="12" t="inlineStr"/>
      <c r="Q207" s="12" t="inlineStr">
        <is>
          <t>DK, MO</t>
        </is>
      </c>
      <c r="R207" s="12" t="inlineStr">
        <is>
          <t>Home, Safety, Energy</t>
        </is>
      </c>
    </row>
    <row r="208" ht="28" customHeight="1">
      <c r="A208" s="25" t="inlineStr">
        <is>
          <t>S204</t>
        </is>
      </c>
      <c r="B208" s="26" t="inlineStr">
        <is>
          <t>LD1125H 24GHz respiration radar</t>
        </is>
      </c>
      <c r="C208" s="12" t="inlineStr">
        <is>
          <t>Presence &amp; Occupancy</t>
        </is>
      </c>
      <c r="D208" s="12" t="inlineStr">
        <is>
          <t>Presence + breathing micro-motion to 9m (long range)</t>
        </is>
      </c>
      <c r="E208" s="31" t="inlineStr"/>
      <c r="F208" s="12" t="inlineStr">
        <is>
          <t>UART</t>
        </is>
      </c>
      <c r="G208" s="12" t="inlineStr"/>
      <c r="H208" s="12" t="inlineStr"/>
      <c r="I208" s="12" t="inlineStr"/>
      <c r="J208" s="12" t="inlineStr"/>
      <c r="K208" s="12" t="inlineStr">
        <is>
          <t>60mA</t>
        </is>
      </c>
      <c r="L208" s="29" t="n">
        <v>9</v>
      </c>
      <c r="M208" s="29" t="inlineStr">
        <is>
          <t>$$</t>
        </is>
      </c>
      <c r="N208" s="29" t="n">
        <v>2</v>
      </c>
      <c r="O208" s="12" t="inlineStr"/>
      <c r="P208" s="12" t="inlineStr"/>
      <c r="Q208" s="12" t="inlineStr">
        <is>
          <t>AE</t>
        </is>
      </c>
      <c r="R208" s="12" t="inlineStr">
        <is>
          <t>Grow, Home, Safety</t>
        </is>
      </c>
    </row>
    <row r="209" ht="28" customHeight="1">
      <c r="A209" s="25" t="inlineStr">
        <is>
          <t>S205</t>
        </is>
      </c>
      <c r="B209" s="26" t="inlineStr">
        <is>
          <t>BMI270 wearable IMU</t>
        </is>
      </c>
      <c r="C209" s="12" t="inlineStr">
        <is>
          <t>Motion &amp; Vibration</t>
        </is>
      </c>
      <c r="D209" s="12" t="inlineStr">
        <is>
          <t>6-axis motion tuned for wearables</t>
        </is>
      </c>
      <c r="E209" s="31" t="inlineStr"/>
      <c r="F209" s="12" t="inlineStr">
        <is>
          <t>I2C/SPI</t>
        </is>
      </c>
      <c r="G209" s="12" t="inlineStr"/>
      <c r="H209" s="12" t="inlineStr"/>
      <c r="I209" s="12" t="inlineStr"/>
      <c r="J209" s="12" t="inlineStr"/>
      <c r="K209" s="12" t="inlineStr">
        <is>
          <t>685µA full 6-axis</t>
        </is>
      </c>
      <c r="L209" s="29" t="n">
        <v>8</v>
      </c>
      <c r="M209" s="29" t="inlineStr">
        <is>
          <t>$$</t>
        </is>
      </c>
      <c r="N209" s="29" t="n">
        <v>2</v>
      </c>
      <c r="O209" s="12" t="inlineStr"/>
      <c r="P209" s="12" t="inlineStr"/>
      <c r="Q209" s="12" t="inlineStr">
        <is>
          <t>SF, DK, MO</t>
        </is>
      </c>
      <c r="R209" s="12" t="inlineStr">
        <is>
          <t>Health, Play</t>
        </is>
      </c>
    </row>
    <row r="210" ht="28" customHeight="1">
      <c r="A210" s="25" t="inlineStr">
        <is>
          <t>S206</t>
        </is>
      </c>
      <c r="B210" s="26" t="inlineStr">
        <is>
          <t>MPU-9250 9-axis (legacy)</t>
        </is>
      </c>
      <c r="C210" s="12" t="inlineStr">
        <is>
          <t>Motion &amp; Vibration</t>
        </is>
      </c>
      <c r="D210" s="12" t="inlineStr">
        <is>
          <t>Accel + gyro + magnetometer, the tutorial classic</t>
        </is>
      </c>
      <c r="E210" s="31" t="inlineStr"/>
      <c r="F210" s="12" t="inlineStr">
        <is>
          <t>I2C/SPI</t>
        </is>
      </c>
      <c r="G210" s="12" t="inlineStr"/>
      <c r="H210" s="12" t="inlineStr"/>
      <c r="I210" s="12" t="inlineStr"/>
      <c r="J210" s="12" t="inlineStr"/>
      <c r="K210" s="12" t="inlineStr">
        <is>
          <t>3.7mA</t>
        </is>
      </c>
      <c r="L210" s="29" t="n">
        <v>8</v>
      </c>
      <c r="M210" s="29" t="inlineStr">
        <is>
          <t>$$</t>
        </is>
      </c>
      <c r="N210" s="29" t="n">
        <v>3</v>
      </c>
      <c r="O210" s="12" t="inlineStr"/>
      <c r="P210" s="12" t="inlineStr"/>
      <c r="Q210" s="12" t="inlineStr">
        <is>
          <t>AE, AMZ</t>
        </is>
      </c>
      <c r="R210" s="12" t="inlineStr">
        <is>
          <t>Play</t>
        </is>
      </c>
    </row>
    <row r="211" ht="28" customHeight="1">
      <c r="A211" s="25" t="inlineStr">
        <is>
          <t>S207</t>
        </is>
      </c>
      <c r="B211" s="26" t="inlineStr">
        <is>
          <t>KX132 low-power accel</t>
        </is>
      </c>
      <c r="C211" s="12" t="inlineStr">
        <is>
          <t>Motion &amp; Vibration</t>
        </is>
      </c>
      <c r="D211" s="12" t="inlineStr">
        <is>
          <t>±2-16g with rich engine + tiny current</t>
        </is>
      </c>
      <c r="E211" s="31" t="inlineStr"/>
      <c r="F211" s="12" t="inlineStr">
        <is>
          <t>I2C/SPI</t>
        </is>
      </c>
      <c r="G211" s="12" t="inlineStr"/>
      <c r="H211" s="12" t="inlineStr"/>
      <c r="I211" s="12" t="inlineStr"/>
      <c r="J211" s="12" t="inlineStr"/>
      <c r="K211" s="12" t="inlineStr">
        <is>
          <t>0.5µA standby</t>
        </is>
      </c>
      <c r="L211" s="29" t="n">
        <v>6</v>
      </c>
      <c r="M211" s="29" t="inlineStr">
        <is>
          <t>$$</t>
        </is>
      </c>
      <c r="N211" s="29" t="n">
        <v>2</v>
      </c>
      <c r="O211" s="12" t="inlineStr"/>
      <c r="P211" s="12" t="inlineStr"/>
      <c r="Q211" s="12" t="inlineStr">
        <is>
          <t>SF, DK, MO</t>
        </is>
      </c>
      <c r="R211" s="12" t="inlineStr">
        <is>
          <t>MachineHealth, Energy</t>
        </is>
      </c>
    </row>
    <row r="212" ht="28" customHeight="1">
      <c r="A212" s="25" t="inlineStr">
        <is>
          <t>S208</t>
        </is>
      </c>
      <c r="B212" s="26" t="inlineStr">
        <is>
          <t>MAX4466 adjustable mic amp</t>
        </is>
      </c>
      <c r="C212" s="12" t="inlineStr">
        <is>
          <t>Sound &amp; Audio</t>
        </is>
      </c>
      <c r="D212" s="12" t="inlineStr">
        <is>
          <t>Audio with manual gain trim</t>
        </is>
      </c>
      <c r="E212" s="31" t="inlineStr"/>
      <c r="F212" s="12" t="inlineStr">
        <is>
          <t>Analog</t>
        </is>
      </c>
      <c r="G212" s="12" t="inlineStr"/>
      <c r="H212" s="12" t="inlineStr"/>
      <c r="I212" s="12" t="inlineStr"/>
      <c r="J212" s="12" t="inlineStr"/>
      <c r="K212" s="12" t="inlineStr">
        <is>
          <t>0.3mA</t>
        </is>
      </c>
      <c r="L212" s="29" t="n">
        <v>6</v>
      </c>
      <c r="M212" s="29" t="inlineStr">
        <is>
          <t>$$</t>
        </is>
      </c>
      <c r="N212" s="29" t="n">
        <v>1</v>
      </c>
      <c r="O212" s="12" t="inlineStr"/>
      <c r="P212" s="12" t="inlineStr"/>
      <c r="Q212" s="12" t="inlineStr">
        <is>
          <t>AF, AE, DK</t>
        </is>
      </c>
      <c r="R212" s="12" t="inlineStr">
        <is>
          <t>Play, Home</t>
        </is>
      </c>
    </row>
    <row r="213" ht="28" customHeight="1">
      <c r="A213" s="25" t="inlineStr">
        <is>
          <t>S209</t>
        </is>
      </c>
      <c r="B213" s="26" t="inlineStr">
        <is>
          <t>KY-037/038 sound modules</t>
        </is>
      </c>
      <c r="C213" s="12" t="inlineStr">
        <is>
          <t>Sound &amp; Audio</t>
        </is>
      </c>
      <c r="D213" s="12" t="inlineStr">
        <is>
          <t>Sound above a set loudness (digital) + crude analog</t>
        </is>
      </c>
      <c r="E213" s="31" t="inlineStr"/>
      <c r="F213" s="12" t="inlineStr">
        <is>
          <t>Analog/Digital</t>
        </is>
      </c>
      <c r="G213" s="12" t="inlineStr"/>
      <c r="H213" s="12" t="inlineStr"/>
      <c r="I213" s="12" t="inlineStr"/>
      <c r="J213" s="12" t="inlineStr"/>
      <c r="K213" s="12" t="inlineStr">
        <is>
          <t>&lt;5mA</t>
        </is>
      </c>
      <c r="L213" s="29" t="n">
        <v>1</v>
      </c>
      <c r="M213" s="29" t="inlineStr">
        <is>
          <t>$</t>
        </is>
      </c>
      <c r="N213" s="29" t="n">
        <v>1</v>
      </c>
      <c r="O213" s="12" t="inlineStr"/>
      <c r="P213" s="12" t="inlineStr"/>
      <c r="Q213" s="12" t="inlineStr">
        <is>
          <t>AE, AMZ, CE</t>
        </is>
      </c>
      <c r="R213" s="12" t="inlineStr">
        <is>
          <t>Home, Play</t>
        </is>
      </c>
    </row>
    <row r="214" ht="28" customHeight="1">
      <c r="A214" s="25" t="inlineStr">
        <is>
          <t>S210</t>
        </is>
      </c>
      <c r="B214" s="26" t="inlineStr">
        <is>
          <t>DS18B20 water temp + flow combo</t>
        </is>
      </c>
      <c r="C214" s="12" t="inlineStr">
        <is>
          <t>Water &amp; Liquid</t>
        </is>
      </c>
      <c r="D214" s="12" t="inlineStr">
        <is>
          <t>Water temperature inside pipes (with flow context)</t>
        </is>
      </c>
      <c r="E214" s="31" t="inlineStr"/>
      <c r="F214" s="12" t="inlineStr">
        <is>
          <t>1-Wire/Pulse</t>
        </is>
      </c>
      <c r="G214" s="12" t="inlineStr"/>
      <c r="H214" s="12" t="inlineStr"/>
      <c r="I214" s="12" t="inlineStr"/>
      <c r="J214" s="12" t="inlineStr"/>
      <c r="K214" s="12" t="inlineStr">
        <is>
          <t>mA</t>
        </is>
      </c>
      <c r="L214" s="29" t="n">
        <v>10</v>
      </c>
      <c r="M214" s="29" t="inlineStr">
        <is>
          <t>$$</t>
        </is>
      </c>
      <c r="N214" s="29" t="n">
        <v>2</v>
      </c>
      <c r="O214" s="12" t="inlineStr"/>
      <c r="P214" s="12" t="inlineStr"/>
      <c r="Q214" s="12" t="inlineStr">
        <is>
          <t>AE, AMZ, DIY</t>
        </is>
      </c>
      <c r="R214" s="12" t="inlineStr">
        <is>
          <t>Energy, Water, Home</t>
        </is>
      </c>
    </row>
    <row r="215" ht="28" customHeight="1">
      <c r="A215" s="25" t="inlineStr">
        <is>
          <t>S211</t>
        </is>
      </c>
      <c r="B215" s="26" t="inlineStr">
        <is>
          <t>Optical infrared water-in-fuel</t>
        </is>
      </c>
      <c r="C215" s="12" t="inlineStr">
        <is>
          <t>Water &amp; Liquid</t>
        </is>
      </c>
      <c r="D215" s="12" t="inlineStr">
        <is>
          <t>Liquid presence via optical prism (any liquid, tiny)</t>
        </is>
      </c>
      <c r="E215" s="31" t="inlineStr"/>
      <c r="F215" s="12" t="inlineStr">
        <is>
          <t>Digital</t>
        </is>
      </c>
      <c r="G215" s="12" t="inlineStr"/>
      <c r="H215" s="12" t="inlineStr"/>
      <c r="I215" s="12" t="inlineStr"/>
      <c r="J215" s="12" t="inlineStr"/>
      <c r="K215" s="12" t="inlineStr">
        <is>
          <t>13mA</t>
        </is>
      </c>
      <c r="L215" s="29" t="n">
        <v>18</v>
      </c>
      <c r="M215" s="29" t="inlineStr">
        <is>
          <t>$$$</t>
        </is>
      </c>
      <c r="N215" s="29" t="n">
        <v>1</v>
      </c>
      <c r="O215" s="12" t="inlineStr"/>
      <c r="P215" s="12" t="inlineStr"/>
      <c r="Q215" s="12" t="inlineStr">
        <is>
          <t>DK, MO</t>
        </is>
      </c>
      <c r="R215" s="12" t="inlineStr">
        <is>
          <t>Water, MachineHealth, Home</t>
        </is>
      </c>
    </row>
    <row r="216" ht="28" customHeight="1">
      <c r="A216" s="25" t="inlineStr">
        <is>
          <t>S212</t>
        </is>
      </c>
      <c r="B216" s="26" t="inlineStr">
        <is>
          <t>INA3221 triple-channel power</t>
        </is>
      </c>
      <c r="C216" s="12" t="inlineStr">
        <is>
          <t>Power &amp; Electrical</t>
        </is>
      </c>
      <c r="D216" s="12" t="inlineStr">
        <is>
          <t>V/I on THREE rails simultaneously</t>
        </is>
      </c>
      <c r="E216" s="31" t="inlineStr"/>
      <c r="F216" s="12" t="inlineStr">
        <is>
          <t>I2C</t>
        </is>
      </c>
      <c r="G216" s="12" t="inlineStr"/>
      <c r="H216" s="12" t="inlineStr"/>
      <c r="I216" s="12" t="inlineStr"/>
      <c r="J216" s="12" t="inlineStr"/>
      <c r="K216" s="12" t="inlineStr">
        <is>
          <t>~1mA</t>
        </is>
      </c>
      <c r="L216" s="29" t="n">
        <v>4</v>
      </c>
      <c r="M216" s="29" t="inlineStr">
        <is>
          <t>$</t>
        </is>
      </c>
      <c r="N216" s="29" t="n">
        <v>2</v>
      </c>
      <c r="O216" s="12" t="inlineStr"/>
      <c r="P216" s="12" t="inlineStr"/>
      <c r="Q216" s="12" t="inlineStr">
        <is>
          <t>AE, DK, SF</t>
        </is>
      </c>
      <c r="R216" s="12" t="inlineStr">
        <is>
          <t>Energy, Wild, Robots</t>
        </is>
      </c>
    </row>
    <row r="217" ht="28" customHeight="1">
      <c r="A217" s="25" t="inlineStr">
        <is>
          <t>S213</t>
        </is>
      </c>
      <c r="B217" s="26" t="inlineStr">
        <is>
          <t>ADS1115 16-bit ADC (the analog fixer)</t>
        </is>
      </c>
      <c r="C217" s="12" t="inlineStr">
        <is>
          <t>Power &amp; Electrical</t>
        </is>
      </c>
      <c r="D217" s="12" t="inlineStr">
        <is>
          <t>4 analog channels at TRUE 16-bit (ESP32 ADC is rough)</t>
        </is>
      </c>
      <c r="E217" s="31" t="inlineStr"/>
      <c r="F217" s="12" t="inlineStr">
        <is>
          <t>I2C</t>
        </is>
      </c>
      <c r="G217" s="12" t="inlineStr"/>
      <c r="H217" s="12" t="inlineStr"/>
      <c r="I217" s="12" t="inlineStr"/>
      <c r="J217" s="12" t="inlineStr"/>
      <c r="K217" s="12" t="inlineStr">
        <is>
          <t>150µA</t>
        </is>
      </c>
      <c r="L217" s="29" t="n">
        <v>3</v>
      </c>
      <c r="M217" s="29" t="inlineStr">
        <is>
          <t>$</t>
        </is>
      </c>
      <c r="N217" s="29" t="n">
        <v>1</v>
      </c>
      <c r="O217" s="12" t="inlineStr"/>
      <c r="P217" s="12" t="inlineStr"/>
      <c r="Q217" s="12" t="inlineStr">
        <is>
          <t>AF, AE, DK, SF, CE</t>
        </is>
      </c>
      <c r="R217" s="12" t="inlineStr">
        <is>
          <t>Energy, Water, Health</t>
        </is>
      </c>
    </row>
    <row r="218" ht="28" customHeight="1">
      <c r="A218" s="25" t="inlineStr">
        <is>
          <t>S214</t>
        </is>
      </c>
      <c r="B218" s="26" t="inlineStr">
        <is>
          <t>AS5048A 14-bit angle</t>
        </is>
      </c>
      <c r="C218" s="12" t="inlineStr">
        <is>
          <t>Position &amp; Rotation</t>
        </is>
      </c>
      <c r="D218" s="12" t="inlineStr">
        <is>
          <t>Absolute angle at 14-bit (0.022°) for robotics</t>
        </is>
      </c>
      <c r="E218" s="31" t="inlineStr"/>
      <c r="F218" s="12" t="inlineStr">
        <is>
          <t>I2C/SPI/PWM</t>
        </is>
      </c>
      <c r="G218" s="12" t="inlineStr"/>
      <c r="H218" s="12" t="inlineStr"/>
      <c r="I218" s="12" t="inlineStr"/>
      <c r="J218" s="12" t="inlineStr"/>
      <c r="K218" s="12" t="inlineStr">
        <is>
          <t>15mA</t>
        </is>
      </c>
      <c r="L218" s="29" t="n">
        <v>12</v>
      </c>
      <c r="M218" s="29" t="inlineStr">
        <is>
          <t>$$</t>
        </is>
      </c>
      <c r="N218" s="29" t="n">
        <v>2</v>
      </c>
      <c r="O218" s="12" t="inlineStr"/>
      <c r="P218" s="12" t="inlineStr"/>
      <c r="Q218" s="12" t="inlineStr">
        <is>
          <t>AE, DK, MO</t>
        </is>
      </c>
      <c r="R218" s="12" t="inlineStr">
        <is>
          <t>Robots, MachineHealth</t>
        </is>
      </c>
    </row>
    <row r="219" ht="28" customHeight="1">
      <c r="A219" s="25" t="inlineStr">
        <is>
          <t>S215</t>
        </is>
      </c>
      <c r="B219" s="26" t="inlineStr">
        <is>
          <t>Draw-wire (string pot) sensor</t>
        </is>
      </c>
      <c r="C219" s="12" t="inlineStr">
        <is>
          <t>Position &amp; Rotation</t>
        </is>
      </c>
      <c r="D219" s="12" t="inlineStr">
        <is>
          <t>Linear extension over metres via retractable wire</t>
        </is>
      </c>
      <c r="E219" s="31" t="inlineStr"/>
      <c r="F219" s="12" t="inlineStr">
        <is>
          <t>I2C/Pulse</t>
        </is>
      </c>
      <c r="G219" s="12" t="inlineStr"/>
      <c r="H219" s="12" t="inlineStr"/>
      <c r="I219" s="12" t="inlineStr"/>
      <c r="J219" s="12" t="inlineStr"/>
      <c r="K219" s="12" t="inlineStr">
        <is>
          <t>mA</t>
        </is>
      </c>
      <c r="L219" s="29" t="n">
        <v>15</v>
      </c>
      <c r="M219" s="29" t="inlineStr">
        <is>
          <t>$$$</t>
        </is>
      </c>
      <c r="N219" s="29" t="n">
        <v>3</v>
      </c>
      <c r="O219" s="12" t="inlineStr"/>
      <c r="P219" s="12" t="inlineStr"/>
      <c r="Q219" s="12" t="inlineStr">
        <is>
          <t>DIY, AE</t>
        </is>
      </c>
      <c r="R219" s="12" t="inlineStr">
        <is>
          <t>MachineHealth, Robots, Home</t>
        </is>
      </c>
    </row>
    <row r="220" ht="28" customHeight="1">
      <c r="A220" s="25" t="inlineStr">
        <is>
          <t>S216</t>
        </is>
      </c>
      <c r="B220" s="26" t="inlineStr">
        <is>
          <t>Inclinometer SCL3300</t>
        </is>
      </c>
      <c r="C220" s="12" t="inlineStr">
        <is>
          <t>Position &amp; Rotation</t>
        </is>
      </c>
      <c r="D220" s="12" t="inlineStr">
        <is>
          <t>Tilt to 0.001° class (industrial inclinometer)</t>
        </is>
      </c>
      <c r="E220" s="31" t="inlineStr"/>
      <c r="F220" s="12" t="inlineStr">
        <is>
          <t>SPI</t>
        </is>
      </c>
      <c r="G220" s="12" t="inlineStr"/>
      <c r="H220" s="12" t="inlineStr"/>
      <c r="I220" s="12" t="inlineStr"/>
      <c r="J220" s="12" t="inlineStr"/>
      <c r="K220" s="12" t="inlineStr">
        <is>
          <t>3.6mA</t>
        </is>
      </c>
      <c r="L220" s="29" t="n">
        <v>35</v>
      </c>
      <c r="M220" s="29" t="inlineStr">
        <is>
          <t>$$$</t>
        </is>
      </c>
      <c r="N220" s="29" t="n">
        <v>3</v>
      </c>
      <c r="O220" s="12" t="inlineStr"/>
      <c r="P220" s="12" t="inlineStr"/>
      <c r="Q220" s="12" t="inlineStr">
        <is>
          <t>DK, MO</t>
        </is>
      </c>
      <c r="R220" s="12" t="inlineStr">
        <is>
          <t>MachineHealth, Wild, Safety</t>
        </is>
      </c>
    </row>
    <row r="221" ht="28" customHeight="1">
      <c r="A221" s="25" t="inlineStr">
        <is>
          <t>S217</t>
        </is>
      </c>
      <c r="B221" s="26" t="inlineStr">
        <is>
          <t>MAX86150 ECG+PPG combo</t>
        </is>
      </c>
      <c r="C221" s="12" t="inlineStr">
        <is>
          <t>Biometric &amp; Health</t>
        </is>
      </c>
      <c r="D221" s="12" t="inlineStr">
        <is>
          <t>ECG AND optical pulse in one chip (PTT possible!)</t>
        </is>
      </c>
      <c r="E221" s="31" t="inlineStr"/>
      <c r="F221" s="12" t="inlineStr">
        <is>
          <t>I2C</t>
        </is>
      </c>
      <c r="G221" s="12" t="inlineStr"/>
      <c r="H221" s="12" t="inlineStr"/>
      <c r="I221" s="12" t="inlineStr"/>
      <c r="J221" s="12" t="inlineStr"/>
      <c r="K221" s="12" t="inlineStr">
        <is>
          <t>&lt;1mA typ</t>
        </is>
      </c>
      <c r="L221" s="29" t="n">
        <v>23</v>
      </c>
      <c r="M221" s="29" t="inlineStr">
        <is>
          <t>$$$</t>
        </is>
      </c>
      <c r="N221" s="29" t="n">
        <v>4</v>
      </c>
      <c r="O221" s="12" t="inlineStr"/>
      <c r="P221" s="12" t="inlineStr"/>
      <c r="Q221" s="12" t="inlineStr">
        <is>
          <t>PC, DK, MO, AE</t>
        </is>
      </c>
      <c r="R221" s="12" t="inlineStr">
        <is>
          <t>Health</t>
        </is>
      </c>
    </row>
    <row r="222" ht="28" customHeight="1">
      <c r="A222" s="25" t="inlineStr">
        <is>
          <t>S218</t>
        </is>
      </c>
      <c r="B222" s="26" t="inlineStr">
        <is>
          <t>Thermistor airflow (nasal) kit</t>
        </is>
      </c>
      <c r="C222" s="12" t="inlineStr">
        <is>
          <t>Biometric &amp; Health</t>
        </is>
      </c>
      <c r="D222" s="12" t="inlineStr">
        <is>
          <t>Breath timing via airflow temperature swings</t>
        </is>
      </c>
      <c r="E222" s="31" t="inlineStr"/>
      <c r="F222" s="12" t="inlineStr">
        <is>
          <t>Analog</t>
        </is>
      </c>
      <c r="G222" s="12" t="inlineStr"/>
      <c r="H222" s="12" t="inlineStr"/>
      <c r="I222" s="12" t="inlineStr"/>
      <c r="J222" s="12" t="inlineStr"/>
      <c r="K222" s="12" t="inlineStr">
        <is>
          <t>µA</t>
        </is>
      </c>
      <c r="L222" s="29" t="n">
        <v>3</v>
      </c>
      <c r="M222" s="29" t="inlineStr">
        <is>
          <t>$</t>
        </is>
      </c>
      <c r="N222" s="29" t="n">
        <v>3</v>
      </c>
      <c r="O222" s="12" t="inlineStr"/>
      <c r="P222" s="12" t="inlineStr"/>
      <c r="Q222" s="12" t="inlineStr">
        <is>
          <t>DK, AE, DIY</t>
        </is>
      </c>
      <c r="R222" s="12" t="inlineStr">
        <is>
          <t>Health, Play</t>
        </is>
      </c>
    </row>
    <row r="223" ht="28" customHeight="1">
      <c r="A223" s="25" t="inlineStr">
        <is>
          <t>S219</t>
        </is>
      </c>
      <c r="B223" s="26" t="inlineStr">
        <is>
          <t>Inductive proximity switch M12/M18</t>
        </is>
      </c>
      <c r="C223" s="12" t="inlineStr">
        <is>
          <t>Industrial &amp; Automotive</t>
        </is>
      </c>
      <c r="D223" s="12" t="inlineStr">
        <is>
          <t>Metal presence 4-8mm, sealed, industrial form</t>
        </is>
      </c>
      <c r="E223" s="31" t="inlineStr"/>
      <c r="F223" s="12" t="inlineStr">
        <is>
          <t>Analog/Digital</t>
        </is>
      </c>
      <c r="G223" s="12" t="inlineStr"/>
      <c r="H223" s="12" t="inlineStr"/>
      <c r="I223" s="12" t="inlineStr"/>
      <c r="J223" s="12" t="inlineStr"/>
      <c r="K223" s="12" t="inlineStr">
        <is>
          <t>10mA</t>
        </is>
      </c>
      <c r="L223" s="29" t="n">
        <v>2.5</v>
      </c>
      <c r="M223" s="29" t="inlineStr">
        <is>
          <t>$</t>
        </is>
      </c>
      <c r="N223" s="29" t="n">
        <v>2</v>
      </c>
      <c r="O223" s="12" t="inlineStr"/>
      <c r="P223" s="12" t="inlineStr"/>
      <c r="Q223" s="12" t="inlineStr">
        <is>
          <t>AE, AMZ, DK</t>
        </is>
      </c>
      <c r="R223" s="12" t="inlineStr">
        <is>
          <t>MachineHealth, Robots</t>
        </is>
      </c>
    </row>
    <row r="224" ht="28" customHeight="1">
      <c r="A224" s="25" t="inlineStr">
        <is>
          <t>S220</t>
        </is>
      </c>
      <c r="B224" s="26" t="inlineStr">
        <is>
          <t>Photoelectric beam sensor E18-D80NK</t>
        </is>
      </c>
      <c r="C224" s="12" t="inlineStr">
        <is>
          <t>Industrial &amp; Automotive</t>
        </is>
      </c>
      <c r="D224" s="12" t="inlineStr">
        <is>
          <t>Object presence 3-80cm, adjustable, sealed</t>
        </is>
      </c>
      <c r="E224" s="31" t="inlineStr"/>
      <c r="F224" s="12" t="inlineStr">
        <is>
          <t>Digital</t>
        </is>
      </c>
      <c r="G224" s="12" t="inlineStr"/>
      <c r="H224" s="12" t="inlineStr"/>
      <c r="I224" s="12" t="inlineStr"/>
      <c r="J224" s="12" t="inlineStr"/>
      <c r="K224" s="12" t="inlineStr">
        <is>
          <t>25mA</t>
        </is>
      </c>
      <c r="L224" s="29" t="n">
        <v>3</v>
      </c>
      <c r="M224" s="29" t="inlineStr">
        <is>
          <t>$</t>
        </is>
      </c>
      <c r="N224" s="29" t="n">
        <v>1</v>
      </c>
      <c r="O224" s="12" t="inlineStr"/>
      <c r="P224" s="12" t="inlineStr"/>
      <c r="Q224" s="12" t="inlineStr">
        <is>
          <t>AE, AMZ, DFR, CE</t>
        </is>
      </c>
      <c r="R224" s="12" t="inlineStr">
        <is>
          <t>MachineHealth, Home, Play</t>
        </is>
      </c>
    </row>
    <row r="225" ht="28" customHeight="1">
      <c r="A225" s="25" t="inlineStr">
        <is>
          <t>S221</t>
        </is>
      </c>
      <c r="B225" s="26" t="inlineStr">
        <is>
          <t>Through-beam slot / photo-interrupter</t>
        </is>
      </c>
      <c r="C225" s="12" t="inlineStr">
        <is>
          <t>Industrial &amp; Automotive</t>
        </is>
      </c>
      <c r="D225" s="12" t="inlineStr">
        <is>
          <t>Beam-break events in a U-slot (µs precision)</t>
        </is>
      </c>
      <c r="E225" s="31" t="inlineStr"/>
      <c r="F225" s="12" t="inlineStr">
        <is>
          <t>Digital</t>
        </is>
      </c>
      <c r="G225" s="12" t="inlineStr"/>
      <c r="H225" s="12" t="inlineStr"/>
      <c r="I225" s="12" t="inlineStr"/>
      <c r="J225" s="12" t="inlineStr"/>
      <c r="K225" s="12" t="inlineStr">
        <is>
          <t>20mA LED</t>
        </is>
      </c>
      <c r="L225" s="29" t="n">
        <v>1</v>
      </c>
      <c r="M225" s="29" t="inlineStr">
        <is>
          <t>$</t>
        </is>
      </c>
      <c r="N225" s="29" t="n">
        <v>1</v>
      </c>
      <c r="O225" s="12" t="inlineStr"/>
      <c r="P225" s="12" t="inlineStr"/>
      <c r="Q225" s="12" t="inlineStr">
        <is>
          <t>AE, DK, SF, CE</t>
        </is>
      </c>
      <c r="R225" s="12" t="inlineStr">
        <is>
          <t>MachineHealth, Grow, Play</t>
        </is>
      </c>
    </row>
    <row r="226" ht="28" customHeight="1">
      <c r="A226" s="25" t="inlineStr">
        <is>
          <t>S222</t>
        </is>
      </c>
      <c r="B226" s="26" t="inlineStr">
        <is>
          <t>Narrowband O2 sensor (HEGO)</t>
        </is>
      </c>
      <c r="C226" s="12" t="inlineStr">
        <is>
          <t>Industrial &amp; Automotive</t>
        </is>
      </c>
      <c r="D226" s="12" t="inlineStr">
        <is>
          <t>Exhaust oxygen as a rich/lean switch around stoichiometric</t>
        </is>
      </c>
      <c r="E226" s="31" t="inlineStr"/>
      <c r="F226" s="12" t="inlineStr">
        <is>
          <t>Analog</t>
        </is>
      </c>
      <c r="G226" s="12" t="inlineStr"/>
      <c r="H226" s="12" t="inlineStr"/>
      <c r="I226" s="12" t="inlineStr"/>
      <c r="J226" s="12" t="inlineStr"/>
      <c r="K226" s="12" t="inlineStr">
        <is>
          <t>heater 1-2A @12V ⚠ separate supply, not from the ESP32 rail</t>
        </is>
      </c>
      <c r="L226" s="29" t="n">
        <v>15</v>
      </c>
      <c r="M226" s="29" t="inlineStr">
        <is>
          <t>$$$</t>
        </is>
      </c>
      <c r="N226" s="29" t="n">
        <v>4</v>
      </c>
      <c r="O226" s="12" t="inlineStr"/>
      <c r="P226" s="12" t="inlineStr"/>
      <c r="Q226" s="12" t="inlineStr">
        <is>
          <t>AMZ, AE, DK</t>
        </is>
      </c>
      <c r="R226" s="12" t="inlineStr">
        <is>
          <t>Energy, MachineHealth, Air</t>
        </is>
      </c>
    </row>
    <row r="227" ht="28" customHeight="1">
      <c r="A227" s="25" t="inlineStr">
        <is>
          <t>S223</t>
        </is>
      </c>
      <c r="B227" s="26" t="inlineStr">
        <is>
          <t>Tire pressure TPMS receivers</t>
        </is>
      </c>
      <c r="C227" s="12" t="inlineStr">
        <is>
          <t>Industrial &amp; Automotive</t>
        </is>
      </c>
      <c r="D227" s="12" t="inlineStr">
        <is>
          <t>Tire pressure/temp from in-wheel senders</t>
        </is>
      </c>
      <c r="E227" s="31" t="inlineStr"/>
      <c r="F227" s="12" t="inlineStr">
        <is>
          <t>SPI</t>
        </is>
      </c>
      <c r="G227" s="12" t="inlineStr"/>
      <c r="H227" s="12" t="inlineStr"/>
      <c r="I227" s="12" t="inlineStr"/>
      <c r="J227" s="12" t="inlineStr"/>
      <c r="K227" s="12" t="inlineStr">
        <is>
          <t>16mA</t>
        </is>
      </c>
      <c r="L227" s="29" t="n">
        <v>10</v>
      </c>
      <c r="M227" s="29" t="inlineStr">
        <is>
          <t>$$</t>
        </is>
      </c>
      <c r="N227" s="29" t="n">
        <v>4</v>
      </c>
      <c r="O227" s="12" t="inlineStr"/>
      <c r="P227" s="12" t="inlineStr"/>
      <c r="Q227" s="12" t="inlineStr">
        <is>
          <t>AE, AMZ</t>
        </is>
      </c>
      <c r="R227" s="12" t="inlineStr">
        <is>
          <t>MachineHealth, Safety</t>
        </is>
      </c>
    </row>
    <row r="228" ht="28" customHeight="1">
      <c r="A228" s="25" t="inlineStr">
        <is>
          <t>S224</t>
        </is>
      </c>
      <c r="B228" s="26" t="inlineStr">
        <is>
          <t>Oil/quality dielectric probe</t>
        </is>
      </c>
      <c r="C228" s="12" t="inlineStr">
        <is>
          <t>Industrial &amp; Automotive</t>
        </is>
      </c>
      <c r="D228" s="12" t="inlineStr">
        <is>
          <t>Fluid contamination via dielectric shift</t>
        </is>
      </c>
      <c r="E228" s="31" t="inlineStr"/>
      <c r="F228" s="12" t="inlineStr">
        <is>
          <t>I2C</t>
        </is>
      </c>
      <c r="G228" s="12" t="inlineStr"/>
      <c r="H228" s="12" t="inlineStr"/>
      <c r="I228" s="12" t="inlineStr"/>
      <c r="J228" s="12" t="inlineStr"/>
      <c r="K228" s="12" t="inlineStr">
        <is>
          <t>1mA</t>
        </is>
      </c>
      <c r="L228" s="29" t="n">
        <v>12</v>
      </c>
      <c r="M228" s="29" t="inlineStr">
        <is>
          <t>$$</t>
        </is>
      </c>
      <c r="N228" s="29" t="n">
        <v>4</v>
      </c>
      <c r="O228" s="12" t="inlineStr"/>
      <c r="P228" s="12" t="inlineStr"/>
      <c r="Q228" s="12" t="inlineStr">
        <is>
          <t>DK, DIY</t>
        </is>
      </c>
      <c r="R228" s="12" t="inlineStr">
        <is>
          <t>MachineHealth, Energy</t>
        </is>
      </c>
    </row>
    <row r="229" ht="28" customHeight="1">
      <c r="A229" s="25" t="inlineStr">
        <is>
          <t>S225</t>
        </is>
      </c>
      <c r="B229" s="26" t="inlineStr">
        <is>
          <t>Conductive thread + fabric pads</t>
        </is>
      </c>
      <c r="C229" s="12" t="inlineStr">
        <is>
          <t>Materials &amp; Textiles</t>
        </is>
      </c>
      <c r="D229" s="12" t="inlineStr">
        <is>
          <t>Touch, pressure (with Velostat), stretch, moisture on FABRIC</t>
        </is>
      </c>
      <c r="E229" s="31" t="inlineStr"/>
      <c r="F229" s="12" t="inlineStr">
        <is>
          <t>Analog</t>
        </is>
      </c>
      <c r="G229" s="12" t="inlineStr"/>
      <c r="H229" s="12" t="inlineStr"/>
      <c r="I229" s="12" t="inlineStr"/>
      <c r="J229" s="12" t="inlineStr"/>
      <c r="K229" s="12" t="inlineStr">
        <is>
          <t>µA</t>
        </is>
      </c>
      <c r="L229" s="29" t="n">
        <v>8</v>
      </c>
      <c r="M229" s="29" t="inlineStr">
        <is>
          <t>$$</t>
        </is>
      </c>
      <c r="N229" s="29" t="n">
        <v>2</v>
      </c>
      <c r="O229" s="12" t="inlineStr"/>
      <c r="P229" s="12" t="inlineStr"/>
      <c r="Q229" s="12" t="inlineStr">
        <is>
          <t>AF, SF, AE</t>
        </is>
      </c>
      <c r="R229" s="12" t="inlineStr">
        <is>
          <t>Play, Health</t>
        </is>
      </c>
    </row>
    <row r="230" ht="28" customHeight="1">
      <c r="A230" s="25" t="inlineStr">
        <is>
          <t>S226</t>
        </is>
      </c>
      <c r="B230" s="26" t="inlineStr">
        <is>
          <t>Frustration-free moisture: plant leaf clip</t>
        </is>
      </c>
      <c r="C230" s="12" t="inlineStr">
        <is>
          <t>Materials &amp; Textiles</t>
        </is>
      </c>
      <c r="D230" s="12" t="inlineStr">
        <is>
          <t>Leaf thickness/turgor (plant water status, direct!)</t>
        </is>
      </c>
      <c r="E230" s="31" t="inlineStr"/>
      <c r="F230" s="12" t="inlineStr">
        <is>
          <t>Analog</t>
        </is>
      </c>
      <c r="G230" s="12" t="inlineStr"/>
      <c r="H230" s="12" t="inlineStr"/>
      <c r="I230" s="12" t="inlineStr"/>
      <c r="J230" s="12" t="inlineStr"/>
      <c r="K230" s="12" t="inlineStr">
        <is>
          <t>20mA pulsed</t>
        </is>
      </c>
      <c r="L230" s="29" t="n">
        <v>5</v>
      </c>
      <c r="M230" s="29" t="inlineStr">
        <is>
          <t>$$</t>
        </is>
      </c>
      <c r="N230" s="29" t="n">
        <v>3</v>
      </c>
      <c r="O230" s="12" t="inlineStr"/>
      <c r="P230" s="12" t="inlineStr"/>
      <c r="Q230" s="12" t="inlineStr">
        <is>
          <t>DIY, DK</t>
        </is>
      </c>
      <c r="R230" s="12" t="inlineStr">
        <is>
          <t>Grow, Invisible, Play</t>
        </is>
      </c>
    </row>
    <row r="231" ht="28" customHeight="1">
      <c r="A231" s="25" t="inlineStr">
        <is>
          <t>S227</t>
        </is>
      </c>
      <c r="B231" s="26" t="inlineStr">
        <is>
          <t>Color-changing material readers</t>
        </is>
      </c>
      <c r="C231" s="12" t="inlineStr">
        <is>
          <t>Materials &amp; Textiles</t>
        </is>
      </c>
      <c r="D231" s="12" t="inlineStr">
        <is>
          <t>CO2 (indicator gel), pH strips, humidity cards — via color</t>
        </is>
      </c>
      <c r="E231" s="31" t="inlineStr"/>
      <c r="F231" s="12" t="inlineStr">
        <is>
          <t>I2C</t>
        </is>
      </c>
      <c r="G231" s="12" t="inlineStr"/>
      <c r="H231" s="12" t="inlineStr"/>
      <c r="I231" s="12" t="inlineStr"/>
      <c r="J231" s="12" t="inlineStr"/>
      <c r="K231" s="12" t="inlineStr">
        <is>
          <t>mA</t>
        </is>
      </c>
      <c r="L231" s="29" t="n">
        <v>10</v>
      </c>
      <c r="M231" s="29" t="inlineStr">
        <is>
          <t>$$</t>
        </is>
      </c>
      <c r="N231" s="29" t="n">
        <v>3</v>
      </c>
      <c r="O231" s="12" t="inlineStr"/>
      <c r="P231" s="12" t="inlineStr"/>
      <c r="Q231" s="12" t="inlineStr">
        <is>
          <t>AF, AE, DIY</t>
        </is>
      </c>
      <c r="R231" s="12" t="inlineStr">
        <is>
          <t>Water, Health, Invisible</t>
        </is>
      </c>
    </row>
    <row r="232" ht="28" customHeight="1">
      <c r="A232" s="25" t="inlineStr">
        <is>
          <t>S228</t>
        </is>
      </c>
      <c r="B232" s="26" t="inlineStr">
        <is>
          <t>Wi-Fi CSI sensing (the router IS the sensor)</t>
        </is>
      </c>
      <c r="C232" s="12" t="inlineStr">
        <is>
          <t>Frontier Sensing</t>
        </is>
      </c>
      <c r="D232" s="12" t="inlineStr">
        <is>
          <t>Presence, motion, breathing — from Wi-Fi signal distortions</t>
        </is>
      </c>
      <c r="E232" s="31" t="inlineStr"/>
      <c r="F232" s="12" t="inlineStr">
        <is>
          <t>Radio</t>
        </is>
      </c>
      <c r="G232" s="12" t="inlineStr"/>
      <c r="H232" s="12" t="inlineStr"/>
      <c r="I232" s="12" t="inlineStr"/>
      <c r="J232" s="12" t="inlineStr"/>
      <c r="K232" s="12" t="inlineStr">
        <is>
          <t>radio on</t>
        </is>
      </c>
      <c r="L232" s="29" t="n">
        <v>0</v>
      </c>
      <c r="M232" s="29" t="inlineStr">
        <is>
          <t>free</t>
        </is>
      </c>
      <c r="N232" s="29" t="n">
        <v>5</v>
      </c>
      <c r="O232" s="12" t="inlineStr"/>
      <c r="P232" s="12" t="inlineStr"/>
      <c r="Q232" s="12" t="inlineStr">
        <is>
          <t>INC</t>
        </is>
      </c>
      <c r="R232" s="12" t="inlineStr">
        <is>
          <t>Invisible, Home, Safety</t>
        </is>
      </c>
    </row>
    <row r="233" ht="28" customHeight="1">
      <c r="A233" s="25" t="inlineStr">
        <is>
          <t>S229</t>
        </is>
      </c>
      <c r="B233" s="26" t="inlineStr">
        <is>
          <t>ESP32 internal sensors (free!)</t>
        </is>
      </c>
      <c r="C233" s="12" t="inlineStr">
        <is>
          <t>Frontier Sensing</t>
        </is>
      </c>
      <c r="D233" s="12" t="inlineStr">
        <is>
          <t>Magnetic field (classic ESP32), die temp, 10x touch, RSSI</t>
        </is>
      </c>
      <c r="E233" s="31" t="inlineStr"/>
      <c r="F233" s="12" t="inlineStr">
        <is>
          <t>Builtin</t>
        </is>
      </c>
      <c r="G233" s="12" t="inlineStr"/>
      <c r="H233" s="12" t="inlineStr"/>
      <c r="I233" s="12" t="inlineStr"/>
      <c r="J233" s="12" t="inlineStr"/>
      <c r="K233" s="12" t="inlineStr">
        <is>
          <t>—</t>
        </is>
      </c>
      <c r="L233" s="29" t="n">
        <v>0</v>
      </c>
      <c r="M233" s="29" t="inlineStr">
        <is>
          <t>free</t>
        </is>
      </c>
      <c r="N233" s="29" t="n">
        <v>1</v>
      </c>
      <c r="O233" s="12" t="inlineStr"/>
      <c r="P233" s="12" t="inlineStr"/>
      <c r="Q233" s="12" t="inlineStr">
        <is>
          <t>INC</t>
        </is>
      </c>
      <c r="R233" s="12" t="inlineStr">
        <is>
          <t>Invisible, Energy, Home</t>
        </is>
      </c>
    </row>
    <row r="234" ht="28" customHeight="1">
      <c r="A234" s="25" t="inlineStr">
        <is>
          <t>S230</t>
        </is>
      </c>
      <c r="B234" s="26" t="inlineStr">
        <is>
          <t>Time-of-flight spectroscopy: AS7263 trick</t>
        </is>
      </c>
      <c r="C234" s="12" t="inlineStr">
        <is>
          <t>Frontier Sensing</t>
        </is>
      </c>
      <c r="D234" s="12" t="inlineStr">
        <is>
          <t>Material identity via NIR reflectance fingerprints</t>
        </is>
      </c>
      <c r="E234" s="31" t="inlineStr"/>
      <c r="F234" s="12" t="inlineStr">
        <is>
          <t>I2C</t>
        </is>
      </c>
      <c r="G234" s="12" t="inlineStr"/>
      <c r="H234" s="12" t="inlineStr"/>
      <c r="I234" s="12" t="inlineStr"/>
      <c r="J234" s="12" t="inlineStr"/>
      <c r="K234" s="12" t="inlineStr">
        <is>
          <t>LED bursts</t>
        </is>
      </c>
      <c r="L234" s="29" t="n">
        <v>35</v>
      </c>
      <c r="M234" s="29" t="inlineStr">
        <is>
          <t>$$$</t>
        </is>
      </c>
      <c r="N234" s="29" t="n">
        <v>5</v>
      </c>
      <c r="O234" s="12" t="inlineStr"/>
      <c r="P234" s="12" t="inlineStr"/>
      <c r="Q234" s="12" t="inlineStr">
        <is>
          <t>SF, DK, DIY</t>
        </is>
      </c>
      <c r="R234" s="12" t="inlineStr">
        <is>
          <t>Invisible, Wild, Robots</t>
        </is>
      </c>
    </row>
    <row r="235" ht="28" customHeight="1">
      <c r="A235" s="25" t="inlineStr">
        <is>
          <t>S231</t>
        </is>
      </c>
      <c r="B235" s="26" t="inlineStr">
        <is>
          <t>Capacitive rain/condensation plate</t>
        </is>
      </c>
      <c r="C235" s="12" t="inlineStr">
        <is>
          <t>Frontier Sensing</t>
        </is>
      </c>
      <c r="D235" s="12" t="inlineStr">
        <is>
          <t>Rain droplets, dew, frost formation on a surface</t>
        </is>
      </c>
      <c r="E235" s="31" t="inlineStr"/>
      <c r="F235" s="12" t="inlineStr">
        <is>
          <t>Analog</t>
        </is>
      </c>
      <c r="G235" s="12" t="inlineStr"/>
      <c r="H235" s="12" t="inlineStr"/>
      <c r="I235" s="12" t="inlineStr"/>
      <c r="J235" s="12" t="inlineStr"/>
      <c r="K235" s="12" t="inlineStr">
        <is>
          <t>µA</t>
        </is>
      </c>
      <c r="L235" s="29" t="n">
        <v>3</v>
      </c>
      <c r="M235" s="29" t="inlineStr">
        <is>
          <t>$</t>
        </is>
      </c>
      <c r="N235" s="29" t="n">
        <v>3</v>
      </c>
      <c r="O235" s="12" t="inlineStr"/>
      <c r="P235" s="12" t="inlineStr"/>
      <c r="Q235" s="12" t="inlineStr">
        <is>
          <t>PCB, DIY</t>
        </is>
      </c>
      <c r="R235" s="12" t="inlineStr">
        <is>
          <t>Wild, Grow, Invisible</t>
        </is>
      </c>
    </row>
    <row r="236" ht="28" customHeight="1">
      <c r="A236" s="25" t="inlineStr">
        <is>
          <t>S232</t>
        </is>
      </c>
      <c r="B236" s="26" t="inlineStr">
        <is>
          <t>Acoustic emission (ultrasonic contact)</t>
        </is>
      </c>
      <c r="C236" s="12" t="inlineStr">
        <is>
          <t>Frontier Sensing</t>
        </is>
      </c>
      <c r="D236" s="12" t="inlineStr">
        <is>
          <t>Ultrasonic crackles INSIDE materials (cracks, leaks, arcing)</t>
        </is>
      </c>
      <c r="E236" s="31" t="inlineStr"/>
      <c r="F236" s="12" t="inlineStr">
        <is>
          <t>Analog</t>
        </is>
      </c>
      <c r="G236" s="12" t="inlineStr"/>
      <c r="H236" s="12" t="inlineStr"/>
      <c r="I236" s="12" t="inlineStr"/>
      <c r="J236" s="12" t="inlineStr"/>
      <c r="K236" s="12" t="inlineStr">
        <is>
          <t>mA</t>
        </is>
      </c>
      <c r="L236" s="29" t="n">
        <v>10</v>
      </c>
      <c r="M236" s="29" t="inlineStr">
        <is>
          <t>$$</t>
        </is>
      </c>
      <c r="N236" s="29" t="n">
        <v>5</v>
      </c>
      <c r="O236" s="12" t="inlineStr"/>
      <c r="P236" s="12" t="inlineStr"/>
      <c r="Q236" s="12" t="inlineStr">
        <is>
          <t>DK, AE, DIY</t>
        </is>
      </c>
      <c r="R236" s="12" t="inlineStr">
        <is>
          <t>MachineHealth, Invisible, Energy</t>
        </is>
      </c>
    </row>
    <row r="237" ht="28" customHeight="1">
      <c r="A237" s="25" t="inlineStr">
        <is>
          <t>S233</t>
        </is>
      </c>
      <c r="B237" s="26" t="inlineStr">
        <is>
          <t>Soil/water nitrate ion-selective</t>
        </is>
      </c>
      <c r="C237" s="12" t="inlineStr">
        <is>
          <t>Water &amp; Liquid</t>
        </is>
      </c>
      <c r="D237" s="12" t="inlineStr">
        <is>
          <t>Nitrate concentration (the eutrophication ion)</t>
        </is>
      </c>
      <c r="E237" s="31" t="inlineStr"/>
      <c r="F237" s="12" t="inlineStr">
        <is>
          <t>Analog</t>
        </is>
      </c>
      <c r="G237" s="12" t="inlineStr"/>
      <c r="H237" s="12" t="inlineStr"/>
      <c r="I237" s="12" t="inlineStr"/>
      <c r="J237" s="12" t="inlineStr"/>
      <c r="K237" s="12" t="inlineStr">
        <is>
          <t>µA</t>
        </is>
      </c>
      <c r="L237" s="29" t="n">
        <v>90</v>
      </c>
      <c r="M237" s="29" t="inlineStr">
        <is>
          <t>$$$$</t>
        </is>
      </c>
      <c r="N237" s="29" t="n">
        <v>5</v>
      </c>
      <c r="O237" s="12" t="inlineStr"/>
      <c r="P237" s="12" t="inlineStr"/>
      <c r="Q237" s="12" t="inlineStr">
        <is>
          <t>AT, DK, VER</t>
        </is>
      </c>
      <c r="R237" s="12" t="inlineStr">
        <is>
          <t>Water, Wild, Grow</t>
        </is>
      </c>
    </row>
    <row r="238" ht="28" customHeight="1">
      <c r="A238" s="25" t="inlineStr">
        <is>
          <t>S234</t>
        </is>
      </c>
      <c r="B238" s="26" t="inlineStr">
        <is>
          <t>Transit-time ultrasonic flow (clamp-on)</t>
        </is>
      </c>
      <c r="C238" s="12" t="inlineStr">
        <is>
          <t>Water &amp; Liquid</t>
        </is>
      </c>
      <c r="D238" s="12" t="inlineStr">
        <is>
          <t>Flow inside pipes WITHOUT cutting them (clamp-on)</t>
        </is>
      </c>
      <c r="E238" s="31" t="inlineStr"/>
      <c r="F238" s="12" t="inlineStr">
        <is>
          <t>RS-485</t>
        </is>
      </c>
      <c r="G238" s="12" t="inlineStr"/>
      <c r="H238" s="12" t="inlineStr"/>
      <c r="I238" s="12" t="inlineStr"/>
      <c r="J238" s="12" t="inlineStr"/>
      <c r="K238" s="12" t="inlineStr">
        <is>
          <t>2W</t>
        </is>
      </c>
      <c r="L238" s="29" t="n">
        <v>85</v>
      </c>
      <c r="M238" s="29" t="inlineStr">
        <is>
          <t>$$$$</t>
        </is>
      </c>
      <c r="N238" s="29" t="n">
        <v>4</v>
      </c>
      <c r="O238" s="12" t="inlineStr"/>
      <c r="P238" s="12" t="inlineStr"/>
      <c r="Q238" s="12" t="inlineStr">
        <is>
          <t>AE, AMZ</t>
        </is>
      </c>
      <c r="R238" s="12" t="inlineStr">
        <is>
          <t>Water, Energy, MachineHealth</t>
        </is>
      </c>
    </row>
    <row r="239" ht="28" customHeight="1">
      <c r="A239" s="25" t="inlineStr">
        <is>
          <t>S235</t>
        </is>
      </c>
      <c r="B239" s="26" t="inlineStr">
        <is>
          <t>Scent delivery + e-nose loop</t>
        </is>
      </c>
      <c r="C239" s="12" t="inlineStr">
        <is>
          <t>Frontier Sensing</t>
        </is>
      </c>
      <c r="D239" s="12" t="inlineStr">
        <is>
          <t>Smell classification via heater-profile sensor arrays</t>
        </is>
      </c>
      <c r="E239" s="31" t="inlineStr"/>
      <c r="F239" s="12" t="inlineStr">
        <is>
          <t>I2C/SPI</t>
        </is>
      </c>
      <c r="G239" s="12" t="inlineStr"/>
      <c r="H239" s="12" t="inlineStr"/>
      <c r="I239" s="12" t="inlineStr"/>
      <c r="J239" s="12" t="inlineStr"/>
      <c r="K239" s="12" t="inlineStr">
        <is>
          <t>4x gas scans</t>
        </is>
      </c>
      <c r="L239" s="29" t="n">
        <v>60</v>
      </c>
      <c r="M239" s="29" t="inlineStr">
        <is>
          <t>$$$$</t>
        </is>
      </c>
      <c r="N239" s="29" t="n">
        <v>5</v>
      </c>
      <c r="O239" s="12" t="inlineStr"/>
      <c r="P239" s="12" t="inlineStr"/>
      <c r="Q239" s="12" t="inlineStr">
        <is>
          <t>DK, MO, PI</t>
        </is>
      </c>
      <c r="R239" s="12" t="inlineStr">
        <is>
          <t>Air, Play, Health</t>
        </is>
      </c>
    </row>
    <row r="240" ht="28" customHeight="1">
      <c r="A240" s="25" t="inlineStr">
        <is>
          <t>S236</t>
        </is>
      </c>
      <c r="B240" s="26" t="inlineStr">
        <is>
          <t>Bat/dolphin: 40kHz ranging array</t>
        </is>
      </c>
      <c r="C240" s="12" t="inlineStr">
        <is>
          <t>Frontier Sensing</t>
        </is>
      </c>
      <c r="D240" s="12" t="inlineStr">
        <is>
          <t>Coarse acoustic 'images' via multiple ultrasonic angles</t>
        </is>
      </c>
      <c r="E240" s="31" t="inlineStr"/>
      <c r="F240" s="12" t="inlineStr">
        <is>
          <t>Analog</t>
        </is>
      </c>
      <c r="G240" s="12" t="inlineStr"/>
      <c r="H240" s="12" t="inlineStr"/>
      <c r="I240" s="12" t="inlineStr"/>
      <c r="J240" s="12" t="inlineStr"/>
      <c r="K240" s="12" t="inlineStr">
        <is>
          <t>45mA</t>
        </is>
      </c>
      <c r="L240" s="29" t="n">
        <v>8</v>
      </c>
      <c r="M240" s="29" t="inlineStr">
        <is>
          <t>$$</t>
        </is>
      </c>
      <c r="N240" s="29" t="n">
        <v>4</v>
      </c>
      <c r="O240" s="12" t="inlineStr"/>
      <c r="P240" s="12" t="inlineStr"/>
      <c r="Q240" s="12" t="inlineStr">
        <is>
          <t>AE, DIY</t>
        </is>
      </c>
      <c r="R240" s="12" t="inlineStr">
        <is>
          <t>Health, Robots, Invisible</t>
        </is>
      </c>
    </row>
    <row r="241" ht="28" customHeight="1">
      <c r="A241" s="25" t="inlineStr">
        <is>
          <t>S237</t>
        </is>
      </c>
      <c r="B241" s="26" t="inlineStr">
        <is>
          <t>Atmospheric electricity (field mill lite)</t>
        </is>
      </c>
      <c r="C241" s="12" t="inlineStr">
        <is>
          <t>Frontier Sensing</t>
        </is>
      </c>
      <c r="D241" s="12" t="inlineStr">
        <is>
          <t>Static field / charged weather (storm electricity)</t>
        </is>
      </c>
      <c r="E241" s="31" t="inlineStr"/>
      <c r="F241" s="12" t="inlineStr">
        <is>
          <t>Analog</t>
        </is>
      </c>
      <c r="G241" s="12" t="inlineStr"/>
      <c r="H241" s="12" t="inlineStr"/>
      <c r="I241" s="12" t="inlineStr"/>
      <c r="J241" s="12" t="inlineStr"/>
      <c r="K241" s="12" t="inlineStr">
        <is>
          <t>µA</t>
        </is>
      </c>
      <c r="L241" s="29" t="n">
        <v>15</v>
      </c>
      <c r="M241" s="29" t="inlineStr">
        <is>
          <t>$$$</t>
        </is>
      </c>
      <c r="N241" s="29" t="n">
        <v>5</v>
      </c>
      <c r="O241" s="12" t="inlineStr"/>
      <c r="P241" s="12" t="inlineStr"/>
      <c r="Q241" s="12" t="inlineStr">
        <is>
          <t>DK, DIY</t>
        </is>
      </c>
      <c r="R241" s="12" t="inlineStr">
        <is>
          <t>Wild, Invisible, Safety</t>
        </is>
      </c>
    </row>
    <row r="242" ht="28" customHeight="1">
      <c r="A242" s="25" t="inlineStr">
        <is>
          <t>S238</t>
        </is>
      </c>
      <c r="B242" s="26" t="inlineStr">
        <is>
          <t>Ground vibration fence: fiber + photodiode</t>
        </is>
      </c>
      <c r="C242" s="12" t="inlineStr">
        <is>
          <t>Frontier Sensing</t>
        </is>
      </c>
      <c r="D242" s="12" t="inlineStr">
        <is>
          <t>Disturbance anywhere along a fiber/cable run</t>
        </is>
      </c>
      <c r="E242" s="31" t="inlineStr"/>
      <c r="F242" s="12" t="inlineStr">
        <is>
          <t>Analog</t>
        </is>
      </c>
      <c r="G242" s="12" t="inlineStr"/>
      <c r="H242" s="12" t="inlineStr"/>
      <c r="I242" s="12" t="inlineStr"/>
      <c r="J242" s="12" t="inlineStr"/>
      <c r="K242" s="12" t="inlineStr">
        <is>
          <t>LED mA</t>
        </is>
      </c>
      <c r="L242" s="29" t="n">
        <v>10</v>
      </c>
      <c r="M242" s="29" t="inlineStr">
        <is>
          <t>$$</t>
        </is>
      </c>
      <c r="N242" s="29" t="n">
        <v>4</v>
      </c>
      <c r="O242" s="12" t="inlineStr"/>
      <c r="P242" s="12" t="inlineStr"/>
      <c r="Q242" s="12" t="inlineStr">
        <is>
          <t>AE, DIY</t>
        </is>
      </c>
      <c r="R242" s="12" t="inlineStr">
        <is>
          <t>Wild, Safety, Invisible</t>
        </is>
      </c>
    </row>
  </sheetData>
  <mergeCells count="2">
    <mergeCell ref="A3:R3"/>
    <mergeCell ref="A2:R2"/>
  </mergeCells>
  <conditionalFormatting sqref="L5:L242">
    <cfRule type="dataBar" priority="1">
      <dataBar showValue="1">
        <cfvo type="num" val="0"/>
        <cfvo type="num" val="120"/>
        <color rgb="009BB7D4"/>
      </dataBar>
    </cfRule>
  </conditionalFormatting>
  <conditionalFormatting sqref="N5:N242">
    <cfRule type="iconSet" priority="2">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5" location="'Sensor Cards'!A4" tooltip="Open the full card for DS18B20 digital temp probe" display="S001"/>
    <hyperlink ref="A6" location="'Sensor Cards'!A21" tooltip="Open the full card for TMP117 ultra-precise temp" display="S002"/>
    <hyperlink ref="A7" location="'Sensor Cards'!A37" tooltip="Open the full card for MCP9808 precision temp" display="S003"/>
    <hyperlink ref="A8" location="'Sensor Cards'!A53" tooltip="Open the full card for MAX31855 thermocouple amp" display="S004"/>
    <hyperlink ref="A9" location="'Sensor Cards'!A71" tooltip="Open the full card for MAX31865 RTD amplifier" display="S005"/>
    <hyperlink ref="A10" location="'Sensor Cards'!A83" tooltip="Open the full card for NTC thermistor 10k" display="S006"/>
    <hyperlink ref="A11" location="'Sensor Cards'!A100" tooltip="Open the full card for MLX90614 IR thermometer" display="S007"/>
    <hyperlink ref="A12" location="'Sensor Cards'!A116" tooltip="Open the full card for MLX90632 miniature IR temp" display="S008"/>
    <hyperlink ref="A13" location="'Sensor Cards'!A128" tooltip="Open the full card for TMP36 analog temp" display="S009"/>
    <hyperlink ref="A14" location="'Sensor Cards'!A140" tooltip="Open the full card for Thermocouple multiplexer board" display="S010"/>
    <hyperlink ref="A15" location="'Sensor Cards'!A152" tooltip="Open the full card for DHT22 / AM2302" display="S011"/>
    <hyperlink ref="A16" location="'Sensor Cards'!A168" tooltip="Open the full card for SHT41 humidity + temp" display="S012"/>
    <hyperlink ref="A17" location="'Sensor Cards'!A184" tooltip="Open the full card for BME280 climate combo" display="S013"/>
    <hyperlink ref="A18" location="'Sensor Cards'!A200" tooltip="Open the full card for HDC3022 humidity + temp" display="S014"/>
    <hyperlink ref="A19" location="'Sensor Cards'!A212" tooltip="Open the full card for SHT31 weatherproof probe" display="S015"/>
    <hyperlink ref="A20" location="'Sensor Cards'!A224" tooltip="Open the full card for BMP390 precision barometer" display="S016"/>
    <hyperlink ref="A21" location="'Sensor Cards'!A240" tooltip="Open the full card for DPS310 barometer" display="S017"/>
    <hyperlink ref="A22" location="'Sensor Cards'!A252" tooltip="Open the full card for MS5611 high-res altimeter" display="S018"/>
    <hyperlink ref="A23" location="'Sensor Cards'!A264" tooltip="Open the full card for LPS22HB pressure sensor" display="S019"/>
    <hyperlink ref="A24" location="'Sensor Cards'!A276" tooltip="Open the full card for SDP810 differential pressure" display="S020"/>
    <hyperlink ref="A25" location="'Sensor Cards'!A293" tooltip="Open the full card for MPRLS ported pressure" display="S021"/>
    <hyperlink ref="A26" location="'Sensor Cards'!A305" tooltip="Open the full card for XGZP6897D low-range diff pressure" display="S022"/>
    <hyperlink ref="A27" location="'Sensor Cards'!A317" tooltip="Open the full card for BME688 gas + climate AI" display="S023"/>
    <hyperlink ref="A28" location="'Sensor Cards'!A334" tooltip="Open the full card for SGP40 VOC index" display="S024"/>
    <hyperlink ref="A29" location="'Sensor Cards'!A346" tooltip="Open the full card for ENS160 air quality" display="S025"/>
    <hyperlink ref="A30" location="'Sensor Cards'!A358" tooltip="Open the full card for MQ-2 smoke/LPG gas" display="S026"/>
    <hyperlink ref="A31" location="'Sensor Cards'!A376" tooltip="Open the full card for MQ-3 alcohol sensor" display="S027"/>
    <hyperlink ref="A32" location="'Sensor Cards'!A388" tooltip="Open the full card for MQ-7 carbon monoxide" display="S028"/>
    <hyperlink ref="A33" location="'Sensor Cards'!A400" tooltip="Open the full card for MQ-135 air quality" display="S029"/>
    <hyperlink ref="A34" location="'Sensor Cards'!A412" tooltip="Open the full card for MiCS-5524 CO/VOC" display="S030"/>
    <hyperlink ref="A35" location="'Sensor Cards'!A424" tooltip="Open the full card for MiCS-6814 tri-gas" display="S031"/>
    <hyperlink ref="A36" location="'Sensor Cards'!A436" tooltip="Open the full card for SGP30 eCO2/TVOC (legacy)" display="S032"/>
    <hyperlink ref="A37" location="'Sensor Cards'!A448" tooltip="Open the full card for Electrochemical gas cells" display="S033"/>
    <hyperlink ref="A38" location="'Sensor Cards'!A460" tooltip="Open the full card for ZE08-CH2O formaldehyde" display="S034"/>
    <hyperlink ref="A39" location="'Sensor Cards'!A472" tooltip="Open the full card for NDIR methane / hydrocarbon module" display="S035"/>
    <hyperlink ref="A40" location="'Sensor Cards'!A484" tooltip="Open the full card for SCD41 true CO2" display="S036"/>
    <hyperlink ref="A41" location="'Sensor Cards'!A500" tooltip="Open the full card for SCD30 NDIR CO2" display="S037"/>
    <hyperlink ref="A42" location="'Sensor Cards'!A512" tooltip="Open the full card for MH-Z19C budget NDIR CO2" display="S038"/>
    <hyperlink ref="A43" location="'Sensor Cards'!A524" tooltip="Open the full card for SenseAir S8 CO2" display="S039"/>
    <hyperlink ref="A44" location="'Sensor Cards'!A536" tooltip="Open the full card for PMS5003 particulate" display="S040"/>
    <hyperlink ref="A45" location="'Sensor Cards'!A553" tooltip="Open the full card for SPS30 premium PM" display="S041"/>
    <hyperlink ref="A46" location="'Sensor Cards'!A565" tooltip="Open the full card for SDS011 particulate" display="S042"/>
    <hyperlink ref="A47" location="'Sensor Cards'!A577" tooltip="Open the full card for Ikea VINDRIKTNING hack" display="S043"/>
    <hyperlink ref="A48" location="'Sensor Cards'!A589" tooltip="Open the full card for BH1750 lux sensor" display="S044"/>
    <hyperlink ref="A49" location="'Sensor Cards'!A605" tooltip="Open the full card for VEML7700 high-accuracy lux" display="S045"/>
    <hyperlink ref="A50" location="'Sensor Cards'!A617" tooltip="Open the full card for LTR-390 UV + ambient" display="S046"/>
    <hyperlink ref="A51" location="'Sensor Cards'!A629" tooltip="Open the full card for GUVA-S12SD UV analog" display="S047"/>
    <hyperlink ref="A52" location="'Sensor Cards'!A641" tooltip="Open the full card for TSL2591 high dynamic lux" display="S048"/>
    <hyperlink ref="A53" location="'Sensor Cards'!A653" tooltip="Open the full card for Photoresistor (LDR)" display="S049"/>
    <hyperlink ref="A54" location="'Sensor Cards'!A669" tooltip="Open the full card for AS7331 spectral UV" display="S050"/>
    <hyperlink ref="A55" location="'Sensor Cards'!A681" tooltip="Open the full card for TCS34725 RGB color" display="S051"/>
    <hyperlink ref="A56" location="'Sensor Cards'!A693" tooltip="Open the full card for AS7341 11-channel spectral" display="S052"/>
    <hyperlink ref="A57" location="'Sensor Cards'!A705" tooltip="Open the full card for AS7263 NIR spectral" display="S053"/>
    <hyperlink ref="A58" location="'Sensor Cards'!A717" tooltip="Open the full card for APDS-9960 gesture/color/prox" display="S054"/>
    <hyperlink ref="A59" location="'Sensor Cards'!A729" tooltip="Open the full card for OPT4048 tristimulus color" display="S055"/>
    <hyperlink ref="A60" location="'Sensor Cards'!A741" tooltip="Open the full card for HC-SR04 ultrasonic" display="S056"/>
    <hyperlink ref="A61" location="'Sensor Cards'!A758" tooltip="Open the full card for JSN-SR04T waterproof ultrasonic" display="S057"/>
    <hyperlink ref="A62" location="'Sensor Cards'!A770" tooltip="Open the full card for VL53L0X ToF laser" display="S058"/>
    <hyperlink ref="A63" location="'Sensor Cards'!A788" tooltip="Open the full card for VL53L1X long-range ToF" display="S059"/>
    <hyperlink ref="A64" location="'Sensor Cards'!A800" tooltip="Open the full card for VL53L5CX 8x8 ToF array" display="S060"/>
    <hyperlink ref="A65" location="'Sensor Cards'!A812" tooltip="Open the full card for TF-Luna LiDAR" display="S061"/>
    <hyperlink ref="A66" location="'Sensor Cards'!A824" tooltip="Open the full card for RPLIDAR / LD19 scanning LiDAR" display="S062"/>
    <hyperlink ref="A67" location="'Sensor Cards'!A836" tooltip="Open the full card for Sharp GP2Y0A21 IR distance" display="S063"/>
    <hyperlink ref="A68" location="'Sensor Cards'!A848" tooltip="Open the full card for A02YYUW waterproof ultrasonic" display="S064"/>
    <hyperlink ref="A69" location="'Sensor Cards'!A860" tooltip="Open the full card for HC-SR501 PIR motion" display="S065"/>
    <hyperlink ref="A70" location="'Sensor Cards'!A876" tooltip="Open the full card for AM312 mini PIR" display="S066"/>
    <hyperlink ref="A71" location="'Sensor Cards'!A888" tooltip="Open the full card for LD2410 mmWave presence" display="S067"/>
    <hyperlink ref="A72" location="'Sensor Cards'!A904" tooltip="Open the full card for LD2450 multi-target tracking radar" display="S068"/>
    <hyperlink ref="A73" location="'Sensor Cards'!A916" tooltip="Open the full card for Seeed MR60BHA2 vital-sign radar" display="S069"/>
    <hyperlink ref="A74" location="'Sensor Cards'!A928" tooltip="Open the full card for RCWL-0516 doppler radar" display="S070"/>
    <hyperlink ref="A75" location="'Sensor Cards'!A940" tooltip="Open the full card for Grid-EYE AMG8833 thermal array" display="S071"/>
    <hyperlink ref="A76" location="'Sensor Cards'!A956" tooltip="Open the full card for MPU-6050 6-axis IMU" display="S072"/>
    <hyperlink ref="A77" location="'Sensor Cards'!A972" tooltip="Open the full card for LSM6DSOX ML-core IMU" display="S073"/>
    <hyperlink ref="A78" location="'Sensor Cards'!A984" tooltip="Open the full card for BNO055 fusion IMU" display="S074"/>
    <hyperlink ref="A79" location="'Sensor Cards'!A996" tooltip="Open the full card for BNO086 high-perf fusion IMU" display="S075"/>
    <hyperlink ref="A80" location="'Sensor Cards'!A1008" tooltip="Open the full card for ADXL345 accelerometer" display="S076"/>
    <hyperlink ref="A81" location="'Sensor Cards'!A1024" tooltip="Open the full card for ADXL355 low-noise accel" display="S077"/>
    <hyperlink ref="A82" location="'Sensor Cards'!A1036" tooltip="Open the full card for LIS3DH budget accel" display="S078"/>
    <hyperlink ref="A83" location="'Sensor Cards'!A1048" tooltip="Open the full card for ICM-20948 9-axis IMU" display="S079"/>
    <hyperlink ref="A84" location="'Sensor Cards'!A1060" tooltip="Open the full card for High-g accel ADXL375" display="S080"/>
    <hyperlink ref="A85" location="'Sensor Cards'!A1072" tooltip="Open the full card for QMC5883L compass" display="S081"/>
    <hyperlink ref="A86" location="'Sensor Cards'!A1084" tooltip="Open the full card for MMC5603 precision magnetometer" display="S082"/>
    <hyperlink ref="A87" location="'Sensor Cards'!A1096" tooltip="Open the full card for TLV493D 3D magnetic" display="S083"/>
    <hyperlink ref="A88" location="'Sensor Cards'!A1108" tooltip="Open the full card for A3144 / SS49E Hall switches" display="S084"/>
    <hyperlink ref="A89" location="'Sensor Cards'!A1120" tooltip="Open the full card for Reed switch" display="S085"/>
    <hyperlink ref="A90" location="'Sensor Cards'!A1136" tooltip="Open the full card for MLX90393 wide-range 3D mag" display="S086"/>
    <hyperlink ref="A91" location="'Sensor Cards'!A1148" tooltip="Open the full card for INMP441 I2S MEMS mic" display="S087"/>
    <hyperlink ref="A92" location="'Sensor Cards'!A1164" tooltip="Open the full card for ICS-43434 I2S mic" display="S088"/>
    <hyperlink ref="A93" location="'Sensor Cards'!A1176" tooltip="Open the full card for MAX9814 AGC mic amp" display="S089"/>
    <hyperlink ref="A94" location="'Sensor Cards'!A1188" tooltip="Open the full card for SPH0645 I2S mic" display="S090"/>
    <hyperlink ref="A95" location="'Sensor Cards'!A1200" tooltip="Open the full card for Piezo contact mic / disc" display="S091"/>
    <hyperlink ref="A96" location="'Sensor Cards'!A1217" tooltip="Open the full card for DFRobot dB meter" display="S092"/>
    <hyperlink ref="A97" location="'Sensor Cards'!A1229" tooltip="Open the full card for Ultrasonic mic experiments" display="S093"/>
    <hyperlink ref="A98" location="'Sensor Cards'!A1241" tooltip="Open the full card for SW-420 vibration switch" display="S094"/>
    <hyperlink ref="A99" location="'Sensor Cards'!A1253" tooltip="Open the full card for 801S vibration sensor" display="S095"/>
    <hyperlink ref="A100" location="'Sensor Cards'!A1265" tooltip="Open the full card for Geophone SM-24" display="S096"/>
    <hyperlink ref="A101" location="'Sensor Cards'!A1277" tooltip="Open the full card for Piezo shock/knock element" display="S097"/>
    <hyperlink ref="A102" location="'Sensor Cards'!A1289" tooltip="Open the full card for HX711 + load cell" display="S098"/>
    <hyperlink ref="A103" location="'Sensor Cards'!A1306" tooltip="Open the full card for FSR402 force resistor" display="S099"/>
    <hyperlink ref="A104" location="'Sensor Cards'!A1318" tooltip="Open the full card for Velostat pressure sheets" display="S100"/>
    <hyperlink ref="A105" location="'Sensor Cards'!A1330" tooltip="Open the full card for Strain gauge + amp" display="S101"/>
    <hyperlink ref="A106" location="'Sensor Cards'!A1342" tooltip="Open the full card for Nano33-style 1kg beam scale kit" display="S102"/>
    <hyperlink ref="A107" location="'Sensor Cards'!A1354" tooltip="Open the full card for Capacitive liquid/force FDC1004" display="S103"/>
    <hyperlink ref="A108" location="'Sensor Cards'!A1366" tooltip="Open the full card for MPR121 12-pad cap touch" display="S104"/>
    <hyperlink ref="A109" location="'Sensor Cards'!A1382" tooltip="Open the full card for TTP223 single touch" display="S105"/>
    <hyperlink ref="A110" location="'Sensor Cards'!A1394" tooltip="Open the full card for ESP32 native touch pins" display="S106"/>
    <hyperlink ref="A111" location="'Sensor Cards'!A1410" tooltip="Open the full card for Trill flexible touch sliders" display="S107"/>
    <hyperlink ref="A112" location="'Sensor Cards'!A1422" tooltip="Open the full card for Water level capacitive strip" display="S108"/>
    <hyperlink ref="A113" location="'Sensor Cards'!A1434" tooltip="Open the full card for Flex sensor 2.2&quot;" display="S109"/>
    <hyperlink ref="A114" location="'Sensor Cards'!A1446" tooltip="Open the full card for Conductive rubber stretch cord" display="S110"/>
    <hyperlink ref="A115" location="'Sensor Cards'!A1458" tooltip="Open the full card for Bend Labs digital flex (1-axis)" display="S111"/>
    <hyperlink ref="A116" location="'Sensor Cards'!A1470" tooltip="Open the full card for MAX30102 pulse oximeter" display="S112"/>
    <hyperlink ref="A117" location="'Sensor Cards'!A1487" tooltip="Open the full card for AD8232 ECG front-end" display="S113"/>
    <hyperlink ref="A118" location="'Sensor Cards'!A1499" tooltip="Open the full card for MAX30205 clinical body temp" display="S114"/>
    <hyperlink ref="A119" location="'Sensor Cards'!A1511" tooltip="Open the full card for MyoWare 2.0 EMG" display="S115"/>
    <hyperlink ref="A120" location="'Sensor Cards'!A1523" tooltip="Open the full card for GSR / EDA sensor" display="S116"/>
    <hyperlink ref="A121" location="'Sensor Cards'!A1535" tooltip="Open the full card for MLX90614 forehead mode" display="S117"/>
    <hyperlink ref="A122" location="'Sensor Cards'!A1547" tooltip="Open the full card for Pulse sensor (PPG classic)" display="S118"/>
    <hyperlink ref="A123" location="'Sensor Cards'!A1559" tooltip="Open the full card for BioAmp EXG Pill" display="S119"/>
    <hyperlink ref="A124" location="'Sensor Cards'!A1571" tooltip="Open the full card for Fingerprint reader R503" display="S120"/>
    <hyperlink ref="A125" location="'Sensor Cards'!A1583" tooltip="Open the full card for Anemometer cup sensor" display="S121"/>
    <hyperlink ref="A126" location="'Sensor Cards'!A1595" tooltip="Open the full card for Wind vane" display="S122"/>
    <hyperlink ref="A127" location="'Sensor Cards'!A1607" tooltip="Open the full card for Tipping bucket rain gauge" display="S123"/>
    <hyperlink ref="A128" location="'Sensor Cards'!A1619" tooltip="Open the full card for AS3935 lightning detector" display="S124"/>
    <hyperlink ref="A129" location="'Sensor Cards'!A1631" tooltip="Open the full card for ML8511 / VEML6075 UV outdoor" display="S125"/>
    <hyperlink ref="A130" location="'Sensor Cards'!A1643" tooltip="Open the full card for Snow/level laser (outdoor ToF)" display="S126"/>
    <hyperlink ref="A131" location="'Sensor Cards'!A1655" tooltip="Open the full card for Leaf wetness sensor" display="S127"/>
    <hyperlink ref="A132" location="'Sensor Cards'!A1667" tooltip="Open the full card for Pyranometer (solar irradiance)" display="S128"/>
    <hyperlink ref="A133" location="'Sensor Cards'!A1679" tooltip="Open the full card for Capacitive soil moisture v2" display="S129"/>
    <hyperlink ref="A134" location="'Sensor Cards'!A1696" tooltip="Open the full card for RS-485 soil NPK/EC probe" display="S130"/>
    <hyperlink ref="A135" location="'Sensor Cards'!A1708" tooltip="Open the full card for Chirp! plant sensor" display="S131"/>
    <hyperlink ref="A136" location="'Sensor Cards'!A1720" tooltip="Open the full card for DS18B20 soil temp spear" display="S132"/>
    <hyperlink ref="A137" location="'Sensor Cards'!A1732" tooltip="Open the full card for Compost / hay temp lance" display="S133"/>
    <hyperlink ref="A138" location="'Sensor Cards'!A1744" tooltip="Open the full card for Analog pH kit" display="S134"/>
    <hyperlink ref="A139" location="'Sensor Cards'!A1756" tooltip="Open the full card for EC / TDS sensor" display="S135"/>
    <hyperlink ref="A140" location="'Sensor Cards'!A1768" tooltip="Open the full card for Dissolved oxygen kit (Atlas EZO-DO)" display="S239"/>
    <hyperlink ref="A141" location="'Sensor Cards'!A1780" tooltip="Open the full card for Turbidity sensor" display="S137"/>
    <hyperlink ref="A142" location="'Sensor Cards'!A1792" tooltip="Open the full card for YF-S201 flow sensor" display="S138"/>
    <hyperlink ref="A143" location="'Sensor Cards'!A1809" tooltip="Open the full card for Non-contact liquid level XKC-Y26" display="S139"/>
    <hyperlink ref="A144" location="'Sensor Cards'!A1821" tooltip="Open the full card for eTape liquid level" display="S140"/>
    <hyperlink ref="A145" location="'Sensor Cards'!A1833" tooltip="Open the full card for Water leak rope sensor" display="S141"/>
    <hyperlink ref="A146" location="'Sensor Cards'!A1845" tooltip="Open the full card for Ultrasonic liquid (through-wall)" display="S142"/>
    <hyperlink ref="A147" location="'Sensor Cards'!A1857" tooltip="Open the full card for ORP (redox) probe" display="S143"/>
    <hyperlink ref="A148" location="'Sensor Cards'!A1869" tooltip="Open the full card for INA219 current/power monitor" display="S144"/>
    <hyperlink ref="A149" location="'Sensor Cards'!A1881" tooltip="Open the full card for INA226/INA228 precision power" display="S145"/>
    <hyperlink ref="A150" location="'Sensor Cards'!A1893" tooltip="Open the full card for ACS712 Hall current" display="S146"/>
    <hyperlink ref="A151" location="'Sensor Cards'!A1905" tooltip="Open the full card for SCT-013 CT clamp" display="S147"/>
    <hyperlink ref="A152" location="'Sensor Cards'!A1923" tooltip="Open the full card for PZEM-004T AC power module" display="S148"/>
    <hyperlink ref="A153" location="'Sensor Cards'!A1935" tooltip="Open the full card for ZMPT101B voltage sensor" display="S149"/>
    <hyperlink ref="A154" location="'Sensor Cards'!A1947" tooltip="Open the full card for MAX471 / shunt + ADS1115" display="S150"/>
    <hyperlink ref="A155" location="'Sensor Cards'!A1959" tooltip="Open the full card for KY-040 rotary encoder" display="S151"/>
    <hyperlink ref="A156" location="'Sensor Cards'!A1971" tooltip="Open the full card for AS5600 magnetic angle" display="S152"/>
    <hyperlink ref="A157" location="'Sensor Cards'!A1983" tooltip="Open the full card for 600/1024PPR optical encoder" display="S153"/>
    <hyperlink ref="A158" location="'Sensor Cards'!A1995" tooltip="Open the full card for Linear potentiometer / softpot" display="S154"/>
    <hyperlink ref="A159" location="'Sensor Cards'!A2007" tooltip="Open the full card for VL6180X short-range ToF" display="S155"/>
    <hyperlink ref="A160" location="'Sensor Cards'!A2019" tooltip="Open the full card for Joystick module" display="S156"/>
    <hyperlink ref="A161" location="'Sensor Cards'!A2031" tooltip="Open the full card for NEO-6M GPS" display="S157"/>
    <hyperlink ref="A162" location="'Sensor Cards'!A2043" tooltip="Open the full card for u-blox M10 GNSS" display="S158"/>
    <hyperlink ref="A163" location="'Sensor Cards'!A2055" tooltip="Open the full card for ZED-F9P RTK centimetre GNSS" display="S159"/>
    <hyperlink ref="A164" location="'Sensor Cards'!A2067" tooltip="Open the full card for GPS PPS time source" display="S160"/>
    <hyperlink ref="A165" location="'Sensor Cards'!A2079" tooltip="Open the full card for MLX90640 thermal camera" display="S161"/>
    <hyperlink ref="A166" location="'Sensor Cards'!A2091" tooltip="Open the full card for MLX90641 thermal (16x12)" display="S162"/>
    <hyperlink ref="A167" location="'Sensor Cards'!A2103" tooltip="Open the full card for FLIR Lepton 3.5" display="S163"/>
    <hyperlink ref="A168" location="'Sensor Cards'!A2115" tooltip="Open the full card for D6T thermal presence" display="S164"/>
    <hyperlink ref="A169" location="'Sensor Cards'!A2127" tooltip="Open the full card for OV2640 camera (ESP32-CAM)" display="S165"/>
    <hyperlink ref="A170" location="'Sensor Cards'!A2139" tooltip="Open the full card for OV5640 5MP autofocus cam" display="S166"/>
    <hyperlink ref="A171" location="'Sensor Cards'!A2151" tooltip="Open the full card for Person Sensor (Useful Sensors)" display="S167"/>
    <hyperlink ref="A172" location="'Sensor Cards'!A2163" tooltip="Open the full card for HuskyLens AI camera" display="S168"/>
    <hyperlink ref="A173" location="'Sensor Cards'!A2175" tooltip="Open the full card for Grove Vision AI v2" display="S169"/>
    <hyperlink ref="A174" location="'Sensor Cards'!A2187" tooltip="Open the full card for Geiger counter kit" display="S170"/>
    <hyperlink ref="A175" location="'Sensor Cards'!A2199" tooltip="Open the full card for RD200 radon sensor" display="S171"/>
    <hyperlink ref="A176" location="'Sensor Cards'!A2211" tooltip="Open the full card for EMF / RF field probes" display="S172"/>
    <hyperlink ref="A177" location="'Sensor Cards'!A2223" tooltip="Open the full card for SI4432/CC1101 sub-GHz sniffer" display="S173"/>
    <hyperlink ref="A178" location="'Sensor Cards'!A2235" tooltip="Open the full card for RC522 RFID reader" display="S174"/>
    <hyperlink ref="A179" location="'Sensor Cards'!A2247" tooltip="Open the full card for PN532 NFC controller" display="S175"/>
    <hyperlink ref="A180" location="'Sensor Cards'!A2259" tooltip="Open the full card for 125kHz RDM6300 RFID" display="S176"/>
    <hyperlink ref="A181" location="'Sensor Cards'!A2271" tooltip="Open the full card for FS3000 air velocity" display="S177"/>
    <hyperlink ref="A182" location="'Sensor Cards'!A2283" tooltip="Open the full card for LDC1612 inductive sensing" display="S178"/>
    <hyperlink ref="A183" location="'Sensor Cards'!A2295" tooltip="Open the full card for DFRobot Gravity mmWave presence radar" display="S179"/>
    <hyperlink ref="A184" location="'Sensor Cards'!A2307" tooltip="Open the full card for IR flame detector (flicker)" display="S180"/>
    <hyperlink ref="A185" location="'Sensor Cards'!A2319" tooltip="Open the full card for Time-of-flight gesture radar 60GHz" display="S181"/>
    <hyperlink ref="A186" location="'Sensor Cards'!A2331" tooltip="Open the full card for Scale-hacking: NAU7802" display="S182"/>
    <hyperlink ref="A187" location="'Sensor Cards'!A2343" tooltip="Open the full card for Thermal flow: SDP + thermistor DIY" display="S183"/>
    <hyperlink ref="A188" location="'Sensor Cards'!A2355" tooltip="Open the full card for MQ-8 hydrogen sensor" display="S184"/>
    <hyperlink ref="A189" location="'Sensor Cards'!A2367" tooltip="Open the full card for Weight-in-motion: piezo cable" display="S185"/>
    <hyperlink ref="A190" location="'Sensor Cards'!A2379" tooltip="Open the full card for Watermark granular-matrix soil water sensor" display="S186"/>
    <hyperlink ref="A191" location="'Sensor Cards'!A2391" tooltip="Open the full card for Muon detector (CosmicWatch)" display="S187"/>
    <hyperlink ref="A192" location="'Sensor Cards'!A2403" tooltip="Open the full card for Scintillating gamma spectrometer" display="S188"/>
    <hyperlink ref="A193" location="'Sensor Cards'!A2415" tooltip="Open the full card for AHT20 temp/humidity" display="S189"/>
    <hyperlink ref="A194" location="'Sensor Cards'!A2427" tooltip="Open the full card for Si7021 humidity/temp" display="S190"/>
    <hyperlink ref="A195" location="'Sensor Cards'!A2439" tooltip="Open the full card for SHTC3 tiny low-power RH/T" display="S191"/>
    <hyperlink ref="A196" location="'Sensor Cards'!A2451" tooltip="Open the full card for BMP280 budget barometer" display="S192"/>
    <hyperlink ref="A197" location="'Sensor Cards'!A2463" tooltip="Open the full card for TSL2561 lux sensor" display="S193"/>
    <hyperlink ref="A198" location="'Sensor Cards'!A2475" tooltip="Open the full card for MAX44009 ultra-low-power lux" display="S194"/>
    <hyperlink ref="A199" location="'Sensor Cards'!A2487" tooltip="Open the full card for SI1145 UV/IR/visible" display="S195"/>
    <hyperlink ref="A200" location="'Sensor Cards'!A2499" tooltip="Open the full card for VCNL4040 proximity + lux" display="S196"/>
    <hyperlink ref="A201" location="'Sensor Cards'!A2511" tooltip="Open the full card for US-100 ultrasonic w/ temp comp" display="S197"/>
    <hyperlink ref="A202" location="'Sensor Cards'!A2523" tooltip="Open the full card for MaxBotix MB7389 weather LV" display="S198"/>
    <hyperlink ref="A203" location="'Sensor Cards'!A2535" tooltip="Open the full card for MQ-4 methane / natural gas" display="S199"/>
    <hyperlink ref="A204" location="'Sensor Cards'!A2547" tooltip="Open the full card for MQ-6 LPG/propane" display="S200"/>
    <hyperlink ref="A205" location="'Sensor Cards'!A2559" tooltip="Open the full card for MQ-131 ozone" display="S201"/>
    <hyperlink ref="A206" location="'Sensor Cards'!A2571" tooltip="Open the full card for AGS02MA TVOC budget" display="S202"/>
    <hyperlink ref="A207" location="'Sensor Cards'!A2583" tooltip="Open the full card for Panasonic EKMC PIR (quality)" display="S203"/>
    <hyperlink ref="A208" location="'Sensor Cards'!A2595" tooltip="Open the full card for LD1125H 24GHz respiration radar" display="S204"/>
    <hyperlink ref="A209" location="'Sensor Cards'!A2607" tooltip="Open the full card for BMI270 wearable IMU" display="S205"/>
    <hyperlink ref="A210" location="'Sensor Cards'!A2619" tooltip="Open the full card for MPU-9250 9-axis (legacy)" display="S206"/>
    <hyperlink ref="A211" location="'Sensor Cards'!A2631" tooltip="Open the full card for KX132 low-power accel" display="S207"/>
    <hyperlink ref="A212" location="'Sensor Cards'!A2643" tooltip="Open the full card for MAX4466 adjustable mic amp" display="S208"/>
    <hyperlink ref="A213" location="'Sensor Cards'!A2655" tooltip="Open the full card for KY-037/038 sound modules" display="S209"/>
    <hyperlink ref="A214" location="'Sensor Cards'!A2667" tooltip="Open the full card for DS18B20 water temp + flow combo" display="S210"/>
    <hyperlink ref="A215" location="'Sensor Cards'!A2679" tooltip="Open the full card for Optical infrared water-in-fuel" display="S211"/>
    <hyperlink ref="A216" location="'Sensor Cards'!A2691" tooltip="Open the full card for INA3221 triple-channel power" display="S212"/>
    <hyperlink ref="A217" location="'Sensor Cards'!A2703" tooltip="Open the full card for ADS1115 16-bit ADC (the analog fixer)" display="S213"/>
    <hyperlink ref="A218" location="'Sensor Cards'!A2715" tooltip="Open the full card for AS5048A 14-bit angle" display="S214"/>
    <hyperlink ref="A219" location="'Sensor Cards'!A2727" tooltip="Open the full card for Draw-wire (string pot) sensor" display="S215"/>
    <hyperlink ref="A220" location="'Sensor Cards'!A2739" tooltip="Open the full card for Inclinometer SCL3300" display="S216"/>
    <hyperlink ref="A221" location="'Sensor Cards'!A2751" tooltip="Open the full card for MAX86150 ECG+PPG combo" display="S217"/>
    <hyperlink ref="A222" location="'Sensor Cards'!A2763" tooltip="Open the full card for Thermistor airflow (nasal) kit" display="S218"/>
    <hyperlink ref="A223" location="'Sensor Cards'!A2775" tooltip="Open the full card for Inductive proximity switch M12/M18" display="S219"/>
    <hyperlink ref="A224" location="'Sensor Cards'!A2787" tooltip="Open the full card for Photoelectric beam sensor E18-D80NK" display="S220"/>
    <hyperlink ref="A225" location="'Sensor Cards'!A2799" tooltip="Open the full card for Through-beam slot / photo-interrupter" display="S221"/>
    <hyperlink ref="A226" location="'Sensor Cards'!A2811" tooltip="Open the full card for Narrowband O2 sensor (HEGO)" display="S222"/>
    <hyperlink ref="A227" location="'Sensor Cards'!A2823" tooltip="Open the full card for Tire pressure TPMS receivers" display="S223"/>
    <hyperlink ref="A228" location="'Sensor Cards'!A2835" tooltip="Open the full card for Oil/quality dielectric probe" display="S224"/>
    <hyperlink ref="A229" location="'Sensor Cards'!A2847" tooltip="Open the full card for Conductive thread + fabric pads" display="S225"/>
    <hyperlink ref="A230" location="'Sensor Cards'!A2859" tooltip="Open the full card for Frustration-free moisture: plant leaf clip" display="S226"/>
    <hyperlink ref="A231" location="'Sensor Cards'!A2871" tooltip="Open the full card for Color-changing material readers" display="S227"/>
    <hyperlink ref="A232" location="'Sensor Cards'!A2883" tooltip="Open the full card for Wi-Fi CSI sensing (the router IS the sensor)" display="S228"/>
    <hyperlink ref="A233" location="'Sensor Cards'!A2895" tooltip="Open the full card for ESP32 internal sensors (free!)" display="S229"/>
    <hyperlink ref="A234" location="'Sensor Cards'!A2907" tooltip="Open the full card for Time-of-flight spectroscopy: AS7263 trick" display="S230"/>
    <hyperlink ref="A235" location="'Sensor Cards'!A2919" tooltip="Open the full card for Capacitive rain/condensation plate" display="S231"/>
    <hyperlink ref="A236" location="'Sensor Cards'!A2931" tooltip="Open the full card for Acoustic emission (ultrasonic contact)" display="S232"/>
    <hyperlink ref="A237" location="'Sensor Cards'!A2943" tooltip="Open the full card for Soil/water nitrate ion-selective" display="S233"/>
    <hyperlink ref="A238" location="'Sensor Cards'!A2955" tooltip="Open the full card for Transit-time ultrasonic flow (clamp-on)" display="S234"/>
    <hyperlink ref="A239" location="'Sensor Cards'!A2967" tooltip="Open the full card for Scent delivery + e-nose loop" display="S235"/>
    <hyperlink ref="A240" location="'Sensor Cards'!A2979" tooltip="Open the full card for Bat/dolphin: 40kHz ranging array" display="S236"/>
    <hyperlink ref="A241" location="'Sensor Cards'!A2991" tooltip="Open the full card for Atmospheric electricity (field mill lite)" display="S237"/>
    <hyperlink ref="A242" location="'Sensor Cards'!A3003" tooltip="Open the full card for Ground vibration fence: fiber + photodiode" display="S238"/>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C8853A"/>
    <outlinePr summaryBelow="0" summaryRight="1"/>
    <pageSetUpPr/>
  </sheetPr>
  <dimension ref="A1:V3013"/>
  <sheetViews>
    <sheetView showGridLines="0" zoomScale="100" workbookViewId="0">
      <pane ySplit="3" topLeftCell="A4" activePane="bottomLeft" state="frozen"/>
      <selection pane="bottomLeft" activeCell="A1" sqref="A1"/>
    </sheetView>
  </sheetViews>
  <sheetFormatPr baseColWidth="8" defaultRowHeight="15"/>
  <cols>
    <col width="10" customWidth="1" min="1" max="1"/>
    <col width="20" customWidth="1" min="2" max="2"/>
    <col width="26" customWidth="1" min="3" max="3"/>
    <col width="26" customWidth="1" min="4" max="4"/>
    <col width="26" customWidth="1" min="5" max="5"/>
    <col width="24" customWidth="1" min="6" max="6"/>
    <col width="24" customWidth="1" min="7" max="7"/>
    <col width="24" customWidth="1" min="8" max="8"/>
  </cols>
  <sheetData>
    <row r="1" ht="17" customHeight="1">
      <c r="A1" s="2" t="inlineStr">
        <is>
          <t>START</t>
        </is>
      </c>
      <c r="B1" s="2" t="inlineStr">
        <is>
          <t>Dash</t>
        </is>
      </c>
      <c r="C1" s="2" t="inlineStr">
        <is>
          <t>Sensors</t>
        </is>
      </c>
      <c r="D1" s="1"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SENSOR CARDS — the full detail, laid out to be read</t>
        </is>
      </c>
      <c r="B2" s="4" t="n"/>
      <c r="C2" s="4" t="n"/>
      <c r="D2" s="4" t="n"/>
      <c r="E2" s="4" t="n"/>
      <c r="F2" s="4" t="n"/>
      <c r="G2" s="4" t="n"/>
      <c r="H2" s="4" t="n"/>
    </row>
    <row r="3" ht="26" customHeight="1">
      <c r="A3" s="5" t="inlineStr">
        <is>
          <t>Every sensor in depth: how it works, what fools it, what it unlocks. Jump here from any catalog ID. Use Excel's outline (+/−) at the left to collapse rows.</t>
        </is>
      </c>
    </row>
    <row r="4" ht="22" customHeight="1">
      <c r="A4" s="43" t="inlineStr">
        <is>
          <t>S001</t>
        </is>
      </c>
      <c r="B4" s="44" t="inlineStr">
        <is>
          <t>DS18B20 digital temp probe   ·   DS18B20</t>
        </is>
      </c>
    </row>
    <row r="5" outlineLevel="1" ht="15" customHeight="1">
      <c r="A5" s="45" t="inlineStr">
        <is>
          <t>Category</t>
        </is>
      </c>
      <c r="B5" s="12" t="inlineStr">
        <is>
          <t>Temperature › Digital contact</t>
        </is>
      </c>
      <c r="E5" s="45" t="inlineStr">
        <is>
          <t>Measures</t>
        </is>
      </c>
      <c r="F5" s="12" t="inlineStr">
        <is>
          <t>Temperature -55 to +125°C</t>
        </is>
      </c>
    </row>
    <row r="6" outlineLevel="1" ht="15" customHeight="1">
      <c r="A6" s="45" t="inlineStr">
        <is>
          <t>Modality</t>
        </is>
      </c>
      <c r="B6" s="12" t="inlineStr">
        <is>
          <t>Thermal</t>
        </is>
      </c>
      <c r="E6" s="45" t="inlineStr">
        <is>
          <t>Interface</t>
        </is>
      </c>
      <c r="F6" s="12" t="inlineStr">
        <is>
          <t>1-Wire</t>
        </is>
      </c>
    </row>
    <row r="7" outlineLevel="1" ht="15" customHeight="1">
      <c r="A7" s="45" t="inlineStr">
        <is>
          <t>Supply</t>
        </is>
      </c>
      <c r="B7" s="12" t="inlineStr">
        <is>
          <t>3.0-5.5V</t>
        </is>
      </c>
      <c r="E7" s="45" t="inlineStr">
        <is>
          <t>Price</t>
        </is>
      </c>
      <c r="F7" s="12" t="inlineStr">
        <is>
          <t>$2.5  ($)</t>
        </is>
      </c>
    </row>
    <row r="8" outlineLevel="1" ht="15" customHeight="1">
      <c r="A8" s="45" t="inlineStr">
        <is>
          <t>Difficulty</t>
        </is>
      </c>
      <c r="B8" s="12" t="inlineStr">
        <is>
          <t>1 — Plug and play — Qwiic/STEMMA cable or 3 wires, library example works first time</t>
        </is>
      </c>
    </row>
    <row r="9" outlineLevel="1" ht="26" customHeight="1">
      <c r="A9" s="45" t="inlineStr">
        <is>
          <t>HOW</t>
        </is>
      </c>
      <c r="B9" s="46" t="inlineStr">
        <is>
          <t>A tiny chip measures its own die temperature and reports it digitally over a single data wire; dozens can share that one wire because each has a unique 64-bit serial number.</t>
        </is>
      </c>
    </row>
    <row r="10" outlineLevel="1" ht="47" customHeight="1">
      <c r="A10" s="45" t="inlineStr">
        <is>
          <t>WHAT</t>
        </is>
      </c>
      <c r="B10" s="47" t="inlineStr">
        <is>
          <t>Self-heating during conversion if you poll it continuously — leave gaps. The 4.7k pull-up is mandatory and long parasitic-power runs are unreliable; use three-wire mode past a couple of metres. Cheap waterproof probes are frequently counterfeit DS18B20 clones with much worse accuracy and occasional CRC failures — check the ROM family code. Reading the probe tip while the cable runs through a hot space measures a blend of both.</t>
        </is>
      </c>
    </row>
    <row r="11" outlineLevel="1" ht="21" customHeight="1">
      <c r="A11" s="45" t="inlineStr">
        <is>
          <t>COMMON</t>
        </is>
      </c>
      <c r="B11" s="46" t="inlineStr">
        <is>
          <t>Aquarium/pool monitoring, fridge logging, multi-point greenhouse temp mapping, fermentation control, HVAC duct temps.</t>
        </is>
      </c>
    </row>
    <row r="12" outlineLevel="1" ht="23" customHeight="1">
      <c r="A12" s="45" t="inlineStr">
        <is>
          <t>INVENTION</t>
        </is>
      </c>
      <c r="B12" s="48" t="inlineStr">
        <is>
          <t>String 20 probes down a borehole or compost heap on ONE wire to image vertical heat profiles over time — a $50 thermal tomography rig.</t>
        </is>
      </c>
    </row>
    <row r="13" outlineLevel="1" ht="15" customHeight="1">
      <c r="A13" s="45" t="inlineStr">
        <is>
          <t>REQUIRES</t>
        </is>
      </c>
      <c r="B13" s="46" t="inlineStr">
        <is>
          <t>4.7kΩ pull-up on the data line</t>
        </is>
      </c>
    </row>
    <row r="14" outlineLevel="1" ht="19" customHeight="1">
      <c r="A14" s="45" t="inlineStr">
        <is>
          <t>SUBSTITUT</t>
        </is>
      </c>
      <c r="B14" s="46" t="inlineStr">
        <is>
          <t>Cheaper: NTC thermistor + ADC. More accurate: TMP117 (±0.1°C). Non-contact: MLX90614.</t>
        </is>
      </c>
    </row>
    <row r="15" outlineLevel="1" ht="17" customHeight="1">
      <c r="A15" s="45" t="inlineStr">
        <is>
          <t>PAIRS</t>
        </is>
      </c>
      <c r="B15" s="46" t="inlineStr">
        <is>
          <t>SSR/relay for thermostat loops, SD logging, LoRa for remote sites</t>
        </is>
      </c>
    </row>
    <row r="16" outlineLevel="1" ht="17" customHeight="1">
      <c r="A16" s="45" t="inlineStr">
        <is>
          <t>KEY</t>
        </is>
      </c>
      <c r="B16" s="46" t="inlineStr">
        <is>
          <t>±0.5°C accuracy, 12-bit (0.0625°C), waterproof probe versions</t>
        </is>
      </c>
    </row>
    <row r="17" outlineLevel="1" ht="32" customHeight="1">
      <c r="A17" s="45" t="inlineStr">
        <is>
          <t>specs</t>
        </is>
      </c>
      <c r="B17" s="49" t="inlineStr">
        <is>
          <t>Range: -55 to +125°C   Accuracy: ±0.5°C (-10 to +85°C)   Resolution: 0.0625°C (12-bit)   Rate: ~1 Hz at 12-bit (750ms conversion)   Calibration: None   Environment: Indoor, Outdoor, Submersible   Lifecycle: Active   Maturity: Excellent   ESP32: Any variant; the 1-Wire bus is bit-banged or uses the RMT peripheral</t>
        </is>
      </c>
    </row>
    <row r="18" outlineLevel="1" ht="16" customHeight="1">
      <c r="A18" s="45" t="inlineStr">
        <is>
          <t>buy</t>
        </is>
      </c>
      <c r="B18" s="49" t="inlineStr">
        <is>
          <t>AF · SF · DK · AE · CE   |   boards: Waterproof steel-probe cable version; bare TO-92   |   lib: OneWire + DallasTemperature (Arduino), esp-idf onewire   [High, 2026-07]</t>
        </is>
      </c>
    </row>
    <row r="19" outlineLevel="1" ht="45" customHeight="1">
      <c r="A19" s="50" t="inlineStr">
        <is>
          <t>unlocks</t>
        </is>
      </c>
      <c r="B19" s="51" t="inlineStr">
        <is>
          <t>How hot is that surface?  •  Is the water at the right temperature?  •  Is the compost heating properly — or dangerously?  •  Is the soil warm enough to sow?  •  Is something running hotter than it should?  •  How much heat did this water actually carry?</t>
        </is>
      </c>
    </row>
    <row r="21" ht="22" customHeight="1">
      <c r="A21" s="43" t="inlineStr">
        <is>
          <t>S002</t>
        </is>
      </c>
      <c r="B21" s="44" t="inlineStr">
        <is>
          <t>TMP117 ultra-precise temp   ·   TMP117</t>
        </is>
      </c>
    </row>
    <row r="22" outlineLevel="1" ht="15" customHeight="1">
      <c r="A22" s="45" t="inlineStr">
        <is>
          <t>Category</t>
        </is>
      </c>
      <c r="B22" s="12" t="inlineStr">
        <is>
          <t>Temperature › Digital contact</t>
        </is>
      </c>
      <c r="E22" s="45" t="inlineStr">
        <is>
          <t>Measures</t>
        </is>
      </c>
      <c r="F22" s="12" t="inlineStr">
        <is>
          <t>Temperature -55 to +150°C, medical-grade</t>
        </is>
      </c>
    </row>
    <row r="23" outlineLevel="1" ht="15" customHeight="1">
      <c r="A23" s="45" t="inlineStr">
        <is>
          <t>Modality</t>
        </is>
      </c>
      <c r="B23" s="12" t="inlineStr">
        <is>
          <t>Thermal</t>
        </is>
      </c>
      <c r="E23" s="45" t="inlineStr">
        <is>
          <t>Interface</t>
        </is>
      </c>
      <c r="F23" s="12" t="inlineStr">
        <is>
          <t>I2C</t>
        </is>
      </c>
    </row>
    <row r="24" outlineLevel="1" ht="15" customHeight="1">
      <c r="A24" s="45" t="inlineStr">
        <is>
          <t>Supply</t>
        </is>
      </c>
      <c r="B24" s="12" t="inlineStr">
        <is>
          <t>1.8-5.5V</t>
        </is>
      </c>
      <c r="E24" s="45" t="inlineStr">
        <is>
          <t>Price</t>
        </is>
      </c>
      <c r="F24" s="12" t="inlineStr">
        <is>
          <t>$11  ($$)</t>
        </is>
      </c>
    </row>
    <row r="25" outlineLevel="1" ht="15" customHeight="1">
      <c r="A25" s="45" t="inlineStr">
        <is>
          <t>Difficulty</t>
        </is>
      </c>
      <c r="B25" s="12" t="inlineStr">
        <is>
          <t>1 — Plug and play — Qwiic/STEMMA cable or 3 wires, library example works first time</t>
        </is>
      </c>
    </row>
    <row r="26" outlineLevel="1" ht="24" customHeight="1">
      <c r="A26" s="45" t="inlineStr">
        <is>
          <t>HOW</t>
        </is>
      </c>
      <c r="B26" s="46" t="inlineStr">
        <is>
          <t>A factory-calibrated silicon bandgap sensor with 16-bit readout — accurate enough to replace mercury clinical thermometers without any calibration.</t>
        </is>
      </c>
    </row>
    <row r="27" outlineLevel="1" ht="39" customHeight="1">
      <c r="A27" s="45" t="inlineStr">
        <is>
          <t>WHAT</t>
        </is>
      </c>
      <c r="B27" s="47" t="inlineStr">
        <is>
          <t>It is accurate enough that its own PCB becomes the error source: copper pours, nearby regulators and even the I2C pull-ups conduct heat into the die. Thermally isolate it (slots in the PCB, a thin neck) or you will measure your own board. It reads DIE temperature, so airflow and mounting dominate any claim about ambient accuracy.</t>
        </is>
      </c>
    </row>
    <row r="28" outlineLevel="1" ht="20" customHeight="1">
      <c r="A28" s="45" t="inlineStr">
        <is>
          <t>COMMON</t>
        </is>
      </c>
      <c r="B28" s="46" t="inlineStr">
        <is>
          <t>Clinical-grade body temp, lab equipment validation, cold-chain pharma logging, precision incubators.</t>
        </is>
      </c>
    </row>
    <row r="29" outlineLevel="1" ht="23" customHeight="1">
      <c r="A29" s="45" t="inlineStr">
        <is>
          <t>INVENTION</t>
        </is>
      </c>
      <c r="B29" s="48" t="inlineStr">
        <is>
          <t>Detect a person's circadian rhythm from skin-temp micro-oscillations; or sense which chair seat was occupied minutes ago by residual heat.</t>
        </is>
      </c>
    </row>
    <row r="30" outlineLevel="1" ht="16" customHeight="1">
      <c r="A30" s="45" t="inlineStr">
        <is>
          <t>SUBSTITUT</t>
        </is>
      </c>
      <c r="B30" s="46" t="inlineStr">
        <is>
          <t>Cheaper: MCP9808 (±0.25°C). For body-contact use: MAX30205.</t>
        </is>
      </c>
    </row>
    <row r="31" outlineLevel="1" ht="18" customHeight="1">
      <c r="A31" s="45" t="inlineStr">
        <is>
          <t>PAIRS</t>
        </is>
      </c>
      <c r="B31" s="46" t="inlineStr">
        <is>
          <t>MAX30102 for vitals patch, ePaper for cold-chain tag, RTC for dosing logs</t>
        </is>
      </c>
    </row>
    <row r="32" outlineLevel="1" ht="15" customHeight="1">
      <c r="A32" s="45" t="inlineStr">
        <is>
          <t>KEY</t>
        </is>
      </c>
      <c r="B32" s="46" t="inlineStr">
        <is>
          <t>±0.1°C from -20 to 50°C, 0.0078°C resolution</t>
        </is>
      </c>
    </row>
    <row r="33" outlineLevel="1" ht="28" customHeight="1">
      <c r="A33" s="45" t="inlineStr">
        <is>
          <t>specs</t>
        </is>
      </c>
      <c r="B33" s="49" t="inlineStr">
        <is>
          <t>Range: -55 to +150°C   Accuracy: ±0.1°C (-20 to +50°C)   Resolution: 0.0078°C (16-bit)   Rate: up to 8 Hz   I2C addr: 0x48-0x4B (two address pins)   Calibration: None   Environment: Indoor   Lifecycle: Active   Maturity: Excellent   ESP32: Any variant</t>
        </is>
      </c>
    </row>
    <row r="34" outlineLevel="1" ht="16" customHeight="1">
      <c r="A34" s="45" t="inlineStr">
        <is>
          <t>buy</t>
        </is>
      </c>
      <c r="B34" s="49" t="inlineStr">
        <is>
          <t>AF · SF · DK · MO   |   boards: Adafruit 4821, SparkFun Qwiic TMP117   |   lib: Adafruit_TMP117, SparkFun TMP117   [High, 2026-07]</t>
        </is>
      </c>
    </row>
    <row r="35" outlineLevel="1" ht="36" customHeight="1">
      <c r="A35" s="50" t="inlineStr">
        <is>
          <t>unlocks</t>
        </is>
      </c>
      <c r="B35" s="51" t="inlineStr">
        <is>
          <t>How hot is that surface?  •  Is body temperature drifting — fever, ovulation, heat stress?  •  Is something running hotter than it should?  •  Has this drifted from how it behaved when new?</t>
        </is>
      </c>
    </row>
    <row r="37" ht="22" customHeight="1">
      <c r="A37" s="43" t="inlineStr">
        <is>
          <t>S003</t>
        </is>
      </c>
      <c r="B37" s="44" t="inlineStr">
        <is>
          <t>MCP9808 precision temp   ·   MCP9808</t>
        </is>
      </c>
    </row>
    <row r="38" outlineLevel="1" ht="15" customHeight="1">
      <c r="A38" s="45" t="inlineStr">
        <is>
          <t>Category</t>
        </is>
      </c>
      <c r="B38" s="12" t="inlineStr">
        <is>
          <t>Temperature › Digital contact</t>
        </is>
      </c>
      <c r="E38" s="45" t="inlineStr">
        <is>
          <t>Measures</t>
        </is>
      </c>
      <c r="F38" s="12" t="inlineStr">
        <is>
          <t>Temperature -40 to +125°C</t>
        </is>
      </c>
    </row>
    <row r="39" outlineLevel="1" ht="15" customHeight="1">
      <c r="A39" s="45" t="inlineStr">
        <is>
          <t>Modality</t>
        </is>
      </c>
      <c r="B39" s="12" t="inlineStr">
        <is>
          <t>Thermal</t>
        </is>
      </c>
      <c r="E39" s="45" t="inlineStr">
        <is>
          <t>Interface</t>
        </is>
      </c>
      <c r="F39" s="12" t="inlineStr">
        <is>
          <t>I2C</t>
        </is>
      </c>
    </row>
    <row r="40" outlineLevel="1" ht="15" customHeight="1">
      <c r="A40" s="45" t="inlineStr">
        <is>
          <t>Supply</t>
        </is>
      </c>
      <c r="B40" s="12" t="inlineStr">
        <is>
          <t>2.7-5.5V</t>
        </is>
      </c>
      <c r="E40" s="45" t="inlineStr">
        <is>
          <t>Price</t>
        </is>
      </c>
      <c r="F40" s="12" t="inlineStr">
        <is>
          <t>$5  ($$)</t>
        </is>
      </c>
    </row>
    <row r="41" outlineLevel="1" ht="15" customHeight="1">
      <c r="A41" s="45" t="inlineStr">
        <is>
          <t>Difficulty</t>
        </is>
      </c>
      <c r="B41" s="12" t="inlineStr">
        <is>
          <t>1 — Plug and play — Qwiic/STEMMA cable or 3 wires, library example works first time</t>
        </is>
      </c>
    </row>
    <row r="42" outlineLevel="1" ht="25" customHeight="1">
      <c r="A42" s="45" t="inlineStr">
        <is>
          <t>HOW</t>
        </is>
      </c>
      <c r="B42" s="46" t="inlineStr">
        <is>
          <t>Bandgap temperature sensor with built-in programmable alert pin that fires a hardware interrupt when temperature crosses your thresholds — no polling needed.</t>
        </is>
      </c>
    </row>
    <row r="43" outlineLevel="1" ht="27" customHeight="1">
      <c r="A43" s="45" t="inlineStr">
        <is>
          <t>WHAT</t>
        </is>
      </c>
      <c r="B43" s="47" t="inlineStr">
        <is>
          <t>Same self-heating and board-conduction caveat as any die sensor. The ALERT output is open-drain and needs a pull-up; people wire it directly and wonder why the interrupt never fires.</t>
        </is>
      </c>
    </row>
    <row r="44" outlineLevel="1" ht="19" customHeight="1">
      <c r="A44" s="45" t="inlineStr">
        <is>
          <t>COMMON</t>
        </is>
      </c>
      <c r="B44" s="46" t="inlineStr">
        <is>
          <t>Server-rack monitoring, reptile enclosures, 3D-printer chamber temp, fridge/freezer alarms.</t>
        </is>
      </c>
    </row>
    <row r="45" outlineLevel="1" ht="21" customHeight="1">
      <c r="A45" s="45" t="inlineStr">
        <is>
          <t>INVENTION</t>
        </is>
      </c>
      <c r="B45" s="48" t="inlineStr">
        <is>
          <t>Wire the ALERT pin to ESP32 wake — a freezer guard that sleeps at 0.1µA for months and only boots when temp drifts.</t>
        </is>
      </c>
    </row>
    <row r="46" outlineLevel="1" ht="15" customHeight="1">
      <c r="A46" s="45" t="inlineStr">
        <is>
          <t>SUBSTITUT</t>
        </is>
      </c>
      <c r="B46" s="46" t="inlineStr">
        <is>
          <t>More accurate: TMP117. Cheaper: NTC + ADC.</t>
        </is>
      </c>
    </row>
    <row r="47" outlineLevel="1" ht="16" customHeight="1">
      <c r="A47" s="45" t="inlineStr">
        <is>
          <t>PAIRS</t>
        </is>
      </c>
      <c r="B47" s="46" t="inlineStr">
        <is>
          <t>Deep sleep + alert interrupt, buzzer, Wi-Fi push alerts</t>
        </is>
      </c>
    </row>
    <row r="48" outlineLevel="1" ht="15" customHeight="1">
      <c r="A48" s="45" t="inlineStr">
        <is>
          <t>KEY</t>
        </is>
      </c>
      <c r="B48" s="46" t="inlineStr">
        <is>
          <t>±0.25°C typ, 0.0625°C resolution, alert output</t>
        </is>
      </c>
    </row>
    <row r="49" outlineLevel="1" ht="28" customHeight="1">
      <c r="A49" s="45" t="inlineStr">
        <is>
          <t>specs</t>
        </is>
      </c>
      <c r="B49" s="49" t="inlineStr">
        <is>
          <t>Range: -40 to +125°C   Accuracy: ±0.25°C typ   Resolution: 0.0625°C   I2C addr: 0x18-0x1F (three address pins)   Calibration: None   Environment: Indoor   Lifecycle: Active   Maturity: Excellent   ESP32: Any variant; ALERT works as a deep-sleep wake source</t>
        </is>
      </c>
    </row>
    <row r="50" outlineLevel="1" ht="16" customHeight="1">
      <c r="A50" s="45" t="inlineStr">
        <is>
          <t>buy</t>
        </is>
      </c>
      <c r="B50" s="49" t="inlineStr">
        <is>
          <t>AF · DK · MO · AE   |   boards: Adafruit 1782 (STEMMA QT)   |   lib: Adafruit_MCP9808   [High, 2026-07]</t>
        </is>
      </c>
    </row>
    <row r="51" outlineLevel="1" ht="36" customHeight="1">
      <c r="A51" s="50" t="inlineStr">
        <is>
          <t>unlocks</t>
        </is>
      </c>
      <c r="B51" s="51" t="inlineStr">
        <is>
          <t>How hot is that surface?  •  Is something running hotter than it should?  •  Did someone leave it switched on?  •  Has this drifted from how it behaved when new?</t>
        </is>
      </c>
    </row>
    <row r="53" ht="22" customHeight="1">
      <c r="A53" s="43" t="inlineStr">
        <is>
          <t>S004</t>
        </is>
      </c>
      <c r="B53" s="44" t="inlineStr">
        <is>
          <t>MAX31855 thermocouple amp   ·   MAX31855K</t>
        </is>
      </c>
    </row>
    <row r="54" outlineLevel="1" ht="15" customHeight="1">
      <c r="A54" s="45" t="inlineStr">
        <is>
          <t>Category</t>
        </is>
      </c>
      <c r="B54" s="12" t="inlineStr">
        <is>
          <t>Temperature › Thermocouple (extreme)</t>
        </is>
      </c>
      <c r="E54" s="45" t="inlineStr">
        <is>
          <t>Measures</t>
        </is>
      </c>
      <c r="F54" s="12" t="inlineStr">
        <is>
          <t>Temperature -200 to +1350°C via K-type thermocouple</t>
        </is>
      </c>
    </row>
    <row r="55" outlineLevel="1" ht="15" customHeight="1">
      <c r="A55" s="45" t="inlineStr">
        <is>
          <t>Modality</t>
        </is>
      </c>
      <c r="B55" s="12" t="inlineStr">
        <is>
          <t>Thermal</t>
        </is>
      </c>
      <c r="E55" s="45" t="inlineStr">
        <is>
          <t>Interface</t>
        </is>
      </c>
      <c r="F55" s="12" t="inlineStr">
        <is>
          <t>SPI</t>
        </is>
      </c>
    </row>
    <row r="56" outlineLevel="1" ht="15" customHeight="1">
      <c r="A56" s="45" t="inlineStr">
        <is>
          <t>Supply</t>
        </is>
      </c>
      <c r="B56" s="12" t="inlineStr">
        <is>
          <t>3.0-3.6V</t>
        </is>
      </c>
      <c r="E56" s="45" t="inlineStr">
        <is>
          <t>Price</t>
        </is>
      </c>
      <c r="F56" s="12" t="inlineStr">
        <is>
          <t>$15  ($$$)</t>
        </is>
      </c>
    </row>
    <row r="57" outlineLevel="1" ht="15" customHeight="1">
      <c r="A57" s="45" t="inlineStr">
        <is>
          <t>Difficulty</t>
        </is>
      </c>
      <c r="B57" s="12" t="inlineStr">
        <is>
          <t>2 — Easy — breadboard wiring, a well-documented library, no analog thought needed</t>
        </is>
      </c>
    </row>
    <row r="58" outlineLevel="1" ht="25" customHeight="1">
      <c r="A58" s="45" t="inlineStr">
        <is>
          <t>HOW</t>
        </is>
      </c>
      <c r="B58" s="46" t="inlineStr">
        <is>
          <t>Amplifies the microvolt signal two dissimilar metals generate at their junction when hot, adds cold-junction compensation, and outputs a clean digital reading.</t>
        </is>
      </c>
    </row>
    <row r="59" outlineLevel="1" ht="47" customHeight="1">
      <c r="A59" s="45" t="inlineStr">
        <is>
          <t>WHAT</t>
        </is>
      </c>
      <c r="B59" s="47" t="inlineStr">
        <is>
          <t>The cold-junction sensor is on the BOARD, so if the board is hot or in a draught the reading is wrong regardless of the probe. Grounded probes short the input on some rigs — use ungrounded probes unless you have isolation. Thermocouple wire must be the right alloy the whole way: ordinary copper extension wire creates a second junction and a silent offset. The MAX31855 cannot detect a shorted thermocouple, only an open one.</t>
        </is>
      </c>
    </row>
    <row r="60" outlineLevel="1" ht="18" customHeight="1">
      <c r="A60" s="45" t="inlineStr">
        <is>
          <t>COMMON</t>
        </is>
      </c>
      <c r="B60" s="46" t="inlineStr">
        <is>
          <t>Kilns, forges, pizza ovens, smoker/BBQ controllers, exhaust gas temp, reflow ovens.</t>
        </is>
      </c>
    </row>
    <row r="61" outlineLevel="1" ht="22" customHeight="1">
      <c r="A61" s="45" t="inlineStr">
        <is>
          <t>INVENTION</t>
        </is>
      </c>
      <c r="B61" s="48" t="inlineStr">
        <is>
          <t>A pottery-kiln 'black box' that logs full firing curves and uses anomaly detection to predict element burnout before a ruined load.</t>
        </is>
      </c>
    </row>
    <row r="62" outlineLevel="1" ht="17" customHeight="1">
      <c r="A62" s="45" t="inlineStr">
        <is>
          <t>REQUIRES</t>
        </is>
      </c>
      <c r="B62" s="46" t="inlineStr">
        <is>
          <t>K-type thermocouple probe (sold separately); ungrounded type preferred</t>
        </is>
      </c>
    </row>
    <row r="63" outlineLevel="1" ht="17" customHeight="1">
      <c r="A63" s="45" t="inlineStr">
        <is>
          <t>SUBSTITUT</t>
        </is>
      </c>
      <c r="B63" s="46" t="inlineStr">
        <is>
          <t>More accurate below 500°C: MAX31865 + PT100. Multi-type: MCP9600.</t>
        </is>
      </c>
    </row>
    <row r="64" outlineLevel="1" ht="16" customHeight="1">
      <c r="A64" s="45" t="inlineStr">
        <is>
          <t>PAIRS</t>
        </is>
      </c>
      <c r="B64" s="46" t="inlineStr">
        <is>
          <t>SSR for PID control, SD logging, TFT for live curve display</t>
        </is>
      </c>
    </row>
    <row r="65" outlineLevel="1" ht="16" customHeight="1">
      <c r="A65" s="45" t="inlineStr">
        <is>
          <t>KEY</t>
        </is>
      </c>
      <c r="B65" s="46" t="inlineStr">
        <is>
          <t>14-bit, 0.25°C resolution, ±2°C typ; probe sold separately</t>
        </is>
      </c>
    </row>
    <row r="66" outlineLevel="1" ht="24" customHeight="1">
      <c r="A66" s="45" t="inlineStr">
        <is>
          <t>specs</t>
        </is>
      </c>
      <c r="B66" s="49" t="inlineStr">
        <is>
          <t>Range: -200 to +1350°C (K-type)   Accuracy: ±2°C typ   Resolution: 0.25°C   Calibration: One-point   Environment: Indoor, Harsh   Lifecycle: Mature   Maturity: Excellent   ESP32: Any variant (SPI)</t>
        </is>
      </c>
    </row>
    <row r="67" outlineLevel="1" ht="22" customHeight="1">
      <c r="A67" s="52" t="inlineStr">
        <is>
          <t>⚠</t>
        </is>
      </c>
      <c r="B67" s="53" t="inlineStr">
        <is>
          <t>HAZARD: HotSurface — Runs hot enough to burn or ignite (heated gas sensors, heaters)</t>
        </is>
      </c>
    </row>
    <row r="68" outlineLevel="1" ht="16" customHeight="1">
      <c r="A68" s="45" t="inlineStr">
        <is>
          <t>buy</t>
        </is>
      </c>
      <c r="B68" s="49" t="inlineStr">
        <is>
          <t>AF · SF · DK · MO   |   boards: Adafruit 269 + K-type probe   |   lib: Adafruit_MAX31855   [High, 2026-07]</t>
        </is>
      </c>
    </row>
    <row r="69" outlineLevel="1" ht="36" customHeight="1">
      <c r="A69" s="50" t="inlineStr">
        <is>
          <t>unlocks</t>
        </is>
      </c>
      <c r="B69" s="51" t="inlineStr">
        <is>
          <t>How hot is that surface?  •  Is something running hotter than it should?  •  Is it idle, loaded, or jammed?  •  Is there a flame?</t>
        </is>
      </c>
    </row>
    <row r="71" ht="22" customHeight="1">
      <c r="A71" s="54" t="inlineStr">
        <is>
          <t>S005</t>
        </is>
      </c>
      <c r="B71" s="55" t="inlineStr">
        <is>
          <t>MAX31865 RTD amplifier   ·   MAX31865</t>
        </is>
      </c>
    </row>
    <row r="72" outlineLevel="1" ht="15" customHeight="1">
      <c r="A72" s="45" t="inlineStr">
        <is>
          <t>Category</t>
        </is>
      </c>
      <c r="B72" s="12" t="inlineStr">
        <is>
          <t>Temperature › RTD (lab-grade)</t>
        </is>
      </c>
      <c r="E72" s="45" t="inlineStr">
        <is>
          <t>Measures</t>
        </is>
      </c>
      <c r="F72" s="12" t="inlineStr">
        <is>
          <t>Temperature -200 to +850°C via PT100/PT1000</t>
        </is>
      </c>
    </row>
    <row r="73" outlineLevel="1" ht="15" customHeight="1">
      <c r="A73" s="45" t="inlineStr">
        <is>
          <t>Modality</t>
        </is>
      </c>
      <c r="B73" s="12" t="inlineStr">
        <is>
          <t>—</t>
        </is>
      </c>
      <c r="E73" s="45" t="inlineStr">
        <is>
          <t>Interface</t>
        </is>
      </c>
      <c r="F73" s="12" t="inlineStr">
        <is>
          <t>SPI</t>
        </is>
      </c>
    </row>
    <row r="74" outlineLevel="1" ht="15" customHeight="1">
      <c r="A74" s="45" t="inlineStr">
        <is>
          <t>Supply</t>
        </is>
      </c>
      <c r="B74" s="12" t="inlineStr">
        <is>
          <t>3.0-3.6V</t>
        </is>
      </c>
      <c r="E74" s="45" t="inlineStr">
        <is>
          <t>Price</t>
        </is>
      </c>
      <c r="F74" s="12" t="inlineStr">
        <is>
          <t>$15  ($$$)</t>
        </is>
      </c>
    </row>
    <row r="75" outlineLevel="1" ht="15" customHeight="1">
      <c r="A75" s="45" t="inlineStr">
        <is>
          <t>Difficulty</t>
        </is>
      </c>
      <c r="B75" s="12" t="inlineStr">
        <is>
          <t>2 — Easy — breadboard wiring, a well-documented library, no analog thought needed</t>
        </is>
      </c>
    </row>
    <row r="76" outlineLevel="1" ht="25" customHeight="1">
      <c r="A76" s="45" t="inlineStr">
        <is>
          <t>HOW</t>
        </is>
      </c>
      <c r="B76" s="46" t="inlineStr">
        <is>
          <t>Precisely measures the resistance of a platinum element whose resistance changes extremely linearly with temperature — the same standard labs and industry trust.</t>
        </is>
      </c>
    </row>
    <row r="77" outlineLevel="1" ht="20" customHeight="1">
      <c r="A77" s="45" t="inlineStr">
        <is>
          <t>COMMON</t>
        </is>
      </c>
      <c r="B77" s="46" t="inlineStr">
        <is>
          <t>Brewing mash control, lab baths, industrial process temp, calibration reference for cheaper sensors.</t>
        </is>
      </c>
    </row>
    <row r="78" outlineLevel="1" ht="22" customHeight="1">
      <c r="A78" s="45" t="inlineStr">
        <is>
          <t>INVENTION</t>
        </is>
      </c>
      <c r="B78" s="48" t="inlineStr">
        <is>
          <t>Build a 'sensor truth machine' — a PT100 reference rig that auto-characterises the error curves of every cheap temp sensor you own.</t>
        </is>
      </c>
    </row>
    <row r="79" outlineLevel="1" ht="16" customHeight="1">
      <c r="A79" s="45" t="inlineStr">
        <is>
          <t>PAIRS</t>
        </is>
      </c>
      <c r="B79" s="46" t="inlineStr">
        <is>
          <t>MAX31855 for hot end + RTD for precision zone, PID + SSR</t>
        </is>
      </c>
    </row>
    <row r="80" outlineLevel="1" ht="15" customHeight="1">
      <c r="A80" s="45" t="inlineStr">
        <is>
          <t>KEY</t>
        </is>
      </c>
      <c r="B80" s="46" t="inlineStr">
        <is>
          <t>15-bit, 0.03125°C resolution, ±0.5°C system typ</t>
        </is>
      </c>
    </row>
    <row r="81" outlineLevel="1" ht="16" customHeight="1">
      <c r="A81" s="45" t="inlineStr">
        <is>
          <t>buy</t>
        </is>
      </c>
      <c r="B81" s="49" t="inlineStr">
        <is>
          <t>AF · DK · MO   |   boards: Adafruit 3328 + PT100 probe   |   lib: Adafruit_MAX31865   [High]</t>
        </is>
      </c>
    </row>
    <row r="83" ht="22" customHeight="1">
      <c r="A83" s="43" t="inlineStr">
        <is>
          <t>S006</t>
        </is>
      </c>
      <c r="B83" s="44" t="inlineStr">
        <is>
          <t>NTC thermistor 10k   ·   NTC 10k B3950 (e.g. NTCLE100E3103 / generic 3950 bead)</t>
        </is>
      </c>
    </row>
    <row r="84" outlineLevel="1" ht="15" customHeight="1">
      <c r="A84" s="45" t="inlineStr">
        <is>
          <t>Category</t>
        </is>
      </c>
      <c r="B84" s="12" t="inlineStr">
        <is>
          <t>Temperature › Analog (cheapest)</t>
        </is>
      </c>
      <c r="E84" s="45" t="inlineStr">
        <is>
          <t>Measures</t>
        </is>
      </c>
      <c r="F84" s="12" t="inlineStr">
        <is>
          <t>Temperature ~-40 to +125°C (glass bead to +300°C)</t>
        </is>
      </c>
    </row>
    <row r="85" outlineLevel="1" ht="15" customHeight="1">
      <c r="A85" s="45" t="inlineStr">
        <is>
          <t>Modality</t>
        </is>
      </c>
      <c r="B85" s="12" t="inlineStr">
        <is>
          <t>Thermal</t>
        </is>
      </c>
      <c r="E85" s="45" t="inlineStr">
        <is>
          <t>Interface</t>
        </is>
      </c>
      <c r="F85" s="12" t="inlineStr">
        <is>
          <t>Analog</t>
        </is>
      </c>
    </row>
    <row r="86" outlineLevel="1" ht="15" customHeight="1">
      <c r="A86" s="45" t="inlineStr">
        <is>
          <t>Supply</t>
        </is>
      </c>
      <c r="B86" s="12" t="inlineStr">
        <is>
          <t>any (divider)</t>
        </is>
      </c>
      <c r="E86" s="45" t="inlineStr">
        <is>
          <t>Price</t>
        </is>
      </c>
      <c r="F86" s="12" t="inlineStr">
        <is>
          <t>$0.3  ($)</t>
        </is>
      </c>
    </row>
    <row r="87" outlineLevel="1" ht="15" customHeight="1">
      <c r="A87" s="45" t="inlineStr">
        <is>
          <t>Difficulty</t>
        </is>
      </c>
      <c r="B87" s="12" t="inlineStr">
        <is>
          <t>2 — Easy — breadboard wiring, a well-documented library, no analog thought needed</t>
        </is>
      </c>
    </row>
    <row r="88" outlineLevel="1" ht="25" customHeight="1">
      <c r="A88" s="45" t="inlineStr">
        <is>
          <t>HOW</t>
        </is>
      </c>
      <c r="B88" s="46" t="inlineStr">
        <is>
          <t>A resistor whose resistance drops predictably as it warms; you read it with one ADC pin and a fixed resistor as a voltage divider, then apply a simple formula.</t>
        </is>
      </c>
    </row>
    <row r="89" outlineLevel="1" ht="39" customHeight="1">
      <c r="A89" s="45" t="inlineStr">
        <is>
          <t>WHAT</t>
        </is>
      </c>
      <c r="B89" s="47" t="inlineStr">
        <is>
          <t>Self-heating from the divider current is a real error at small bead sizes — keep the current low or pulse the divider. The B-value is a two-point approximation and drifts at the ends of the range; use full Steinhart-Hart if you care. The ESP32's own ADC non-linearity will dominate your error budget long before the thermistor does.</t>
        </is>
      </c>
    </row>
    <row r="90" outlineLevel="1" ht="19" customHeight="1">
      <c r="A90" s="45" t="inlineStr">
        <is>
          <t>COMMON</t>
        </is>
      </c>
      <c r="B90" s="46" t="inlineStr">
        <is>
          <t>3D printer hotends/beds, battery pack temp, cheap multi-zone sensing where $2/point matters.</t>
        </is>
      </c>
    </row>
    <row r="91" outlineLevel="1" ht="22" customHeight="1">
      <c r="A91" s="45" t="inlineStr">
        <is>
          <t>INVENTION</t>
        </is>
      </c>
      <c r="B91" s="48" t="inlineStr">
        <is>
          <t>Glue 30 of them in a grid behind a thin panel for a $10 'thermal pixel wall' that images where a person touched or leaned.</t>
        </is>
      </c>
    </row>
    <row r="92" outlineLevel="1" ht="18" customHeight="1">
      <c r="A92" s="45" t="inlineStr">
        <is>
          <t>REQUIRES</t>
        </is>
      </c>
      <c r="B92" s="46" t="inlineStr">
        <is>
          <t>Fixed divider resistor; an ADS1115 if you want the accuracy the bead can deliver</t>
        </is>
      </c>
    </row>
    <row r="93" outlineLevel="1" ht="17" customHeight="1">
      <c r="A93" s="45" t="inlineStr">
        <is>
          <t>SUBSTITUT</t>
        </is>
      </c>
      <c r="B93" s="46" t="inlineStr">
        <is>
          <t>Digital and calibrated: DS18B20. Precision: MAX31865 + PT100.</t>
        </is>
      </c>
    </row>
    <row r="94" outlineLevel="1" ht="16" customHeight="1">
      <c r="A94" s="45" t="inlineStr">
        <is>
          <t>PAIRS</t>
        </is>
      </c>
      <c r="B94" s="46" t="inlineStr">
        <is>
          <t>CD74HC4067 mux to read 16 on one ADC pin, foam press plate</t>
        </is>
      </c>
    </row>
    <row r="95" outlineLevel="1" ht="16" customHeight="1">
      <c r="A95" s="45" t="inlineStr">
        <is>
          <t>KEY</t>
        </is>
      </c>
      <c r="B95" s="46" t="inlineStr">
        <is>
          <t>±1-3% bead tolerance; B-equation or Steinhart-Hart math</t>
        </is>
      </c>
    </row>
    <row r="96" outlineLevel="1" ht="28" customHeight="1">
      <c r="A96" s="45" t="inlineStr">
        <is>
          <t>specs</t>
        </is>
      </c>
      <c r="B96" s="49" t="inlineStr">
        <is>
          <t>Range: -40 to +125°C typical (glass bead to +300°C)   Accuracy: ±1-3% of the bead's tolerance   Calibration: Two-point   Environment: Indoor, Harsh   Lifecycle: Active   Maturity: Good   ESP32: Use ADC1 — ADC2 is unavailable while Wi-Fi is active</t>
        </is>
      </c>
    </row>
    <row r="97" outlineLevel="1" ht="16" customHeight="1">
      <c r="A97" s="45" t="inlineStr">
        <is>
          <t>buy</t>
        </is>
      </c>
      <c r="B97" s="49" t="inlineStr">
        <is>
          <t>AE · DK · MO · AMZ   |   boards: Bare beads, sealed probe versions, 3D-printer cartridge style   |   lib: Any ADC read + Steinhart-Hart snippet   [High, 2026-07]</t>
        </is>
      </c>
    </row>
    <row r="98" outlineLevel="1" ht="24" customHeight="1">
      <c r="A98" s="50" t="inlineStr">
        <is>
          <t>unlocks</t>
        </is>
      </c>
      <c r="B98" s="51" t="inlineStr">
        <is>
          <t>How hot is that surface?  •  Is something running hotter than it should?</t>
        </is>
      </c>
    </row>
    <row r="100" ht="22" customHeight="1">
      <c r="A100" s="43" t="inlineStr">
        <is>
          <t>S007</t>
        </is>
      </c>
      <c r="B100" s="44" t="inlineStr">
        <is>
          <t>MLX90614 IR thermometer   ·   MLX90614</t>
        </is>
      </c>
    </row>
    <row r="101" outlineLevel="1" ht="15" customHeight="1">
      <c r="A101" s="45" t="inlineStr">
        <is>
          <t>Category</t>
        </is>
      </c>
      <c r="B101" s="12" t="inlineStr">
        <is>
          <t>Temperature › Non-contact IR</t>
        </is>
      </c>
      <c r="E101" s="45" t="inlineStr">
        <is>
          <t>Measures</t>
        </is>
      </c>
      <c r="F101" s="12" t="inlineStr">
        <is>
          <t>Surface temperature of objects from a distance (-70 to +380°C)</t>
        </is>
      </c>
    </row>
    <row r="102" outlineLevel="1" ht="15" customHeight="1">
      <c r="A102" s="45" t="inlineStr">
        <is>
          <t>Modality</t>
        </is>
      </c>
      <c r="B102" s="12" t="inlineStr">
        <is>
          <t>Thermal</t>
        </is>
      </c>
      <c r="E102" s="45" t="inlineStr">
        <is>
          <t>Interface</t>
        </is>
      </c>
      <c r="F102" s="12" t="inlineStr">
        <is>
          <t>I2C</t>
        </is>
      </c>
    </row>
    <row r="103" outlineLevel="1" ht="15" customHeight="1">
      <c r="A103" s="45" t="inlineStr">
        <is>
          <t>Supply</t>
        </is>
      </c>
      <c r="B103" s="12" t="inlineStr">
        <is>
          <t>3.3/5V versions</t>
        </is>
      </c>
      <c r="E103" s="45" t="inlineStr">
        <is>
          <t>Price</t>
        </is>
      </c>
      <c r="F103" s="12" t="inlineStr">
        <is>
          <t>$8  ($$)</t>
        </is>
      </c>
    </row>
    <row r="104" outlineLevel="1" ht="15" customHeight="1">
      <c r="A104" s="45" t="inlineStr">
        <is>
          <t>Difficulty</t>
        </is>
      </c>
      <c r="B104" s="12" t="inlineStr">
        <is>
          <t>1 — Plug and play — Qwiic/STEMMA cable or 3 wires, library example works first time</t>
        </is>
      </c>
    </row>
    <row r="105" outlineLevel="1" ht="25" customHeight="1">
      <c r="A105" s="45" t="inlineStr">
        <is>
          <t>HOW</t>
        </is>
      </c>
      <c r="B105" s="46" t="inlineStr">
        <is>
          <t>A thermopile senses the infrared light every warm object emits; the chip converts that radiation level into the object's surface temperature without touching it.</t>
        </is>
      </c>
    </row>
    <row r="106" outlineLevel="1" ht="47" customHeight="1">
      <c r="A106" s="45" t="inlineStr">
        <is>
          <t>WHAT</t>
        </is>
      </c>
      <c r="B106" s="47" t="inlineStr">
        <is>
          <t>Emissivity is the whole game: it is calibrated for ~0.95 (most matt surfaces), so shiny metal reads far too cold — sometimes by a hundred degrees. The ~90° field of view means at 1m you are averaging a 2m circle, not measuring a spot; people aim it at a small hot object and get room temperature. Sudden ambient changes need minutes to settle. Window glass is opaque to its wavelength, so it cannot see through a window.</t>
        </is>
      </c>
    </row>
    <row r="107" outlineLevel="1" ht="19" customHeight="1">
      <c r="A107" s="45" t="inlineStr">
        <is>
          <t>COMMON</t>
        </is>
      </c>
      <c r="B107" s="46" t="inlineStr">
        <is>
          <t>Forehead thermometers, pan/griddle temp, motor &amp; bearing spot checks, pet bed monitoring.</t>
        </is>
      </c>
    </row>
    <row r="108" outlineLevel="1" ht="22" customHeight="1">
      <c r="A108" s="45" t="inlineStr">
        <is>
          <t>INVENTION</t>
        </is>
      </c>
      <c r="B108" s="48" t="inlineStr">
        <is>
          <t>Point one at your shower drain pipe to detect showers (hot water = occupancy + usage) with zero camera/privacy concerns.</t>
        </is>
      </c>
    </row>
    <row r="109" outlineLevel="1" ht="18" customHeight="1">
      <c r="A109" s="45" t="inlineStr">
        <is>
          <t>SUBSTITUT</t>
        </is>
      </c>
      <c r="B109" s="46" t="inlineStr">
        <is>
          <t>Narrower FOV: MLX90614-DCI. A picture instead of a point: MLX90640 / AMG8833.</t>
        </is>
      </c>
    </row>
    <row r="110" outlineLevel="1" ht="16" customHeight="1">
      <c r="A110" s="45" t="inlineStr">
        <is>
          <t>PAIRS</t>
        </is>
      </c>
      <c r="B110" s="46" t="inlineStr">
        <is>
          <t>Servo to scan = poor-man's thermal camera, OLED readout</t>
        </is>
      </c>
    </row>
    <row r="111" outlineLevel="1" ht="17" customHeight="1">
      <c r="A111" s="45" t="inlineStr">
        <is>
          <t>KEY</t>
        </is>
      </c>
      <c r="B111" s="46" t="inlineStr">
        <is>
          <t>±0.5°C around body temp; FOV ~90° (narrow-FOV variants exist)</t>
        </is>
      </c>
    </row>
    <row r="112" outlineLevel="1" ht="31" customHeight="1">
      <c r="A112" s="45" t="inlineStr">
        <is>
          <t>specs</t>
        </is>
      </c>
      <c r="B112" s="49" t="inlineStr">
        <is>
          <t>Range: -70 to +380°C object   Accuracy: ±0.5°C near body temperature   Resolution: 0.02°C   I2C addr: 0x5A (fixed on most modules)   Calibration: One-point   Environment: Indoor, Outdoor   Lifecycle: Active   Maturity: Excellent   ESP32: Any variant; note the address is fixed, so two need a mux</t>
        </is>
      </c>
    </row>
    <row r="113" outlineLevel="1" ht="16" customHeight="1">
      <c r="A113" s="45" t="inlineStr">
        <is>
          <t>buy</t>
        </is>
      </c>
      <c r="B113" s="49" t="inlineStr">
        <is>
          <t>AF · SF · DK · AE · DFR   |   boards: GY-906 module, Adafruit 1747   |   lib: Adafruit_MLX90614   [High, 2026-07]</t>
        </is>
      </c>
    </row>
    <row r="114" outlineLevel="1" ht="45" customHeight="1">
      <c r="A114" s="50" t="inlineStr">
        <is>
          <t>unlocks</t>
        </is>
      </c>
      <c r="B114" s="51" t="inlineStr">
        <is>
          <t>How hot is that surface?  •  Is something running hotter than it should?  •  Is anyone here?  •  Was the hob left on with nobody there?  •  Will there be frost tonight?  •  Is the sky clear or clouded?  •  Is a bearing starting to fail?</t>
        </is>
      </c>
    </row>
    <row r="116" ht="22" customHeight="1">
      <c r="A116" s="54" t="inlineStr">
        <is>
          <t>S008</t>
        </is>
      </c>
      <c r="B116" s="55" t="inlineStr">
        <is>
          <t>MLX90632 miniature IR temp   ·   MLX90632</t>
        </is>
      </c>
    </row>
    <row r="117" outlineLevel="1" ht="15" customHeight="1">
      <c r="A117" s="45" t="inlineStr">
        <is>
          <t>Category</t>
        </is>
      </c>
      <c r="B117" s="12" t="inlineStr">
        <is>
          <t>Temperature › Non-contact IR</t>
        </is>
      </c>
      <c r="E117" s="45" t="inlineStr">
        <is>
          <t>Measures</t>
        </is>
      </c>
      <c r="F117" s="12" t="inlineStr">
        <is>
          <t>Non-contact surface/body temp, medical accuracy in tiny SMD</t>
        </is>
      </c>
    </row>
    <row r="118" outlineLevel="1" ht="15" customHeight="1">
      <c r="A118" s="45" t="inlineStr">
        <is>
          <t>Modality</t>
        </is>
      </c>
      <c r="B118" s="12" t="inlineStr">
        <is>
          <t>—</t>
        </is>
      </c>
      <c r="E118" s="45" t="inlineStr">
        <is>
          <t>Interface</t>
        </is>
      </c>
      <c r="F118" s="12" t="inlineStr">
        <is>
          <t>I2C</t>
        </is>
      </c>
    </row>
    <row r="119" outlineLevel="1" ht="15" customHeight="1">
      <c r="A119" s="45" t="inlineStr">
        <is>
          <t>Supply</t>
        </is>
      </c>
      <c r="B119" s="12" t="inlineStr">
        <is>
          <t>3.3V</t>
        </is>
      </c>
      <c r="E119" s="45" t="inlineStr">
        <is>
          <t>Price</t>
        </is>
      </c>
      <c r="F119" s="12" t="inlineStr">
        <is>
          <t>$14  ($$)</t>
        </is>
      </c>
    </row>
    <row r="120" outlineLevel="1" ht="15" customHeight="1">
      <c r="A120" s="45" t="inlineStr">
        <is>
          <t>Difficulty</t>
        </is>
      </c>
      <c r="B120" s="12" t="inlineStr">
        <is>
          <t>2 — Easy — breadboard wiring, a well-documented library, no analog thought needed</t>
        </is>
      </c>
    </row>
    <row r="121" outlineLevel="1" ht="22" customHeight="1">
      <c r="A121" s="45" t="inlineStr">
        <is>
          <t>HOW</t>
        </is>
      </c>
      <c r="B121" s="46" t="inlineStr">
        <is>
          <t>Same thermopile principle as MLX90614 but factory-calibrated in a 3x3mm package designed to be embedded into wearables and earbuds.</t>
        </is>
      </c>
    </row>
    <row r="122" outlineLevel="1" ht="18" customHeight="1">
      <c r="A122" s="45" t="inlineStr">
        <is>
          <t>COMMON</t>
        </is>
      </c>
      <c r="B122" s="46" t="inlineStr">
        <is>
          <t>In-ear wearables, skin-temp patches, compact thermal probes for products.</t>
        </is>
      </c>
    </row>
    <row r="123" outlineLevel="1" ht="20" customHeight="1">
      <c r="A123" s="45" t="inlineStr">
        <is>
          <t>INVENTION</t>
        </is>
      </c>
      <c r="B123" s="48" t="inlineStr">
        <is>
          <t>An earbud insert that tracks core-temp trend overnight and flags ovulation or oncoming fever a day early.</t>
        </is>
      </c>
    </row>
    <row r="124" outlineLevel="1" ht="15" customHeight="1">
      <c r="A124" s="45" t="inlineStr">
        <is>
          <t>PAIRS</t>
        </is>
      </c>
      <c r="B124" s="46" t="inlineStr">
        <is>
          <t>MAX30102 + IMU for a full vitals wearable</t>
        </is>
      </c>
    </row>
    <row r="125" outlineLevel="1" ht="15" customHeight="1">
      <c r="A125" s="45" t="inlineStr">
        <is>
          <t>KEY</t>
        </is>
      </c>
      <c r="B125" s="46" t="inlineStr">
        <is>
          <t>±0.2°C medical range, 3x3x1mm</t>
        </is>
      </c>
    </row>
    <row r="126" outlineLevel="1" ht="16" customHeight="1">
      <c r="A126" s="45" t="inlineStr">
        <is>
          <t>buy</t>
        </is>
      </c>
      <c r="B126" s="49" t="inlineStr">
        <is>
          <t>SF · DK · MO   |   boards: SparkFun Qwiic MLX90632   |   lib: SparkFun MLX90632   [High]</t>
        </is>
      </c>
    </row>
    <row r="128" ht="22" customHeight="1">
      <c r="A128" s="54" t="inlineStr">
        <is>
          <t>S009</t>
        </is>
      </c>
      <c r="B128" s="55" t="inlineStr">
        <is>
          <t>TMP36 analog temp   ·   TMP36</t>
        </is>
      </c>
    </row>
    <row r="129" outlineLevel="1" ht="15" customHeight="1">
      <c r="A129" s="45" t="inlineStr">
        <is>
          <t>Category</t>
        </is>
      </c>
      <c r="B129" s="12" t="inlineStr">
        <is>
          <t>Temperature › Analog</t>
        </is>
      </c>
      <c r="E129" s="45" t="inlineStr">
        <is>
          <t>Measures</t>
        </is>
      </c>
      <c r="F129" s="12" t="inlineStr">
        <is>
          <t>Temperature -40 to +125°C as a simple voltage</t>
        </is>
      </c>
    </row>
    <row r="130" outlineLevel="1" ht="15" customHeight="1">
      <c r="A130" s="45" t="inlineStr">
        <is>
          <t>Modality</t>
        </is>
      </c>
      <c r="B130" s="12" t="inlineStr">
        <is>
          <t>—</t>
        </is>
      </c>
      <c r="E130" s="45" t="inlineStr">
        <is>
          <t>Interface</t>
        </is>
      </c>
      <c r="F130" s="12" t="inlineStr">
        <is>
          <t>Analog</t>
        </is>
      </c>
    </row>
    <row r="131" outlineLevel="1" ht="15" customHeight="1">
      <c r="A131" s="45" t="inlineStr">
        <is>
          <t>Supply</t>
        </is>
      </c>
      <c r="B131" s="12" t="inlineStr">
        <is>
          <t>2.7-5.5V</t>
        </is>
      </c>
      <c r="E131" s="45" t="inlineStr">
        <is>
          <t>Price</t>
        </is>
      </c>
      <c r="F131" s="12" t="inlineStr">
        <is>
          <t>$1.5  ($)</t>
        </is>
      </c>
    </row>
    <row r="132" outlineLevel="1" ht="15" customHeight="1">
      <c r="A132" s="45" t="inlineStr">
        <is>
          <t>Difficulty</t>
        </is>
      </c>
      <c r="B132" s="12" t="inlineStr">
        <is>
          <t>1 — Plug and play — Qwiic/STEMMA cable or 3 wires, library example works first time</t>
        </is>
      </c>
    </row>
    <row r="133" outlineLevel="1" ht="23" customHeight="1">
      <c r="A133" s="45" t="inlineStr">
        <is>
          <t>HOW</t>
        </is>
      </c>
      <c r="B133" s="46" t="inlineStr">
        <is>
          <t>Outputs a voltage that rises 10mV for every °C — read one ADC pin, subtract an offset, divide by 10, done. The 'hello world' of analog sensing.</t>
        </is>
      </c>
    </row>
    <row r="134" outlineLevel="1" ht="18" customHeight="1">
      <c r="A134" s="45" t="inlineStr">
        <is>
          <t>COMMON</t>
        </is>
      </c>
      <c r="B134" s="46" t="inlineStr">
        <is>
          <t>Teaching ADC basics, quick ambient temp in any project, battery temp sanity checks.</t>
        </is>
      </c>
    </row>
    <row r="135" outlineLevel="1" ht="22" customHeight="1">
      <c r="A135" s="45" t="inlineStr">
        <is>
          <t>INVENTION</t>
        </is>
      </c>
      <c r="B135" s="48" t="inlineStr">
        <is>
          <t>Great first sensor for kids' workshops — wire 3 parts, read temperature, no library, no protocol, instant gratification.</t>
        </is>
      </c>
    </row>
    <row r="136" outlineLevel="1" ht="15" customHeight="1">
      <c r="A136" s="45" t="inlineStr">
        <is>
          <t>PAIRS</t>
        </is>
      </c>
      <c r="B136" s="46" t="inlineStr">
        <is>
          <t>LED bar display for a no-code thermometer</t>
        </is>
      </c>
    </row>
    <row r="137" outlineLevel="1" ht="15" customHeight="1">
      <c r="A137" s="45" t="inlineStr">
        <is>
          <t>KEY</t>
        </is>
      </c>
      <c r="B137" s="46" t="inlineStr">
        <is>
          <t>±2°C, 10mV/°C, no calibration needed</t>
        </is>
      </c>
    </row>
    <row r="138" outlineLevel="1" ht="16" customHeight="1">
      <c r="A138" s="45" t="inlineStr">
        <is>
          <t>buy</t>
        </is>
      </c>
      <c r="B138" s="49" t="inlineStr">
        <is>
          <t>AF · SF · DK · AE   |   boards: TO-92 bare part   |   lib: analogRead + one line of math   [High]</t>
        </is>
      </c>
    </row>
    <row r="140" ht="22" customHeight="1">
      <c r="A140" s="54" t="inlineStr">
        <is>
          <t>S010</t>
        </is>
      </c>
      <c r="B140" s="55" t="inlineStr">
        <is>
          <t>Thermocouple multiplexer board   ·   MCP9600 / ADS1118 boards</t>
        </is>
      </c>
    </row>
    <row r="141" outlineLevel="1" ht="15" customHeight="1">
      <c r="A141" s="45" t="inlineStr">
        <is>
          <t>Category</t>
        </is>
      </c>
      <c r="B141" s="12" t="inlineStr">
        <is>
          <t>Temperature › Thermocouple (extreme)</t>
        </is>
      </c>
      <c r="E141" s="45" t="inlineStr">
        <is>
          <t>Measures</t>
        </is>
      </c>
      <c r="F141" s="12" t="inlineStr">
        <is>
          <t>Multiple thermocouple channels, various types (K,J,T,N...)</t>
        </is>
      </c>
    </row>
    <row r="142" outlineLevel="1" ht="15" customHeight="1">
      <c r="A142" s="45" t="inlineStr">
        <is>
          <t>Modality</t>
        </is>
      </c>
      <c r="B142" s="12" t="inlineStr">
        <is>
          <t>—</t>
        </is>
      </c>
      <c r="E142" s="45" t="inlineStr">
        <is>
          <t>Interface</t>
        </is>
      </c>
      <c r="F142" s="12" t="inlineStr">
        <is>
          <t>I2C</t>
        </is>
      </c>
    </row>
    <row r="143" outlineLevel="1" ht="15" customHeight="1">
      <c r="A143" s="45" t="inlineStr">
        <is>
          <t>Supply</t>
        </is>
      </c>
      <c r="B143" s="12" t="inlineStr">
        <is>
          <t>2.7-5.5V</t>
        </is>
      </c>
      <c r="E143" s="45" t="inlineStr">
        <is>
          <t>Price</t>
        </is>
      </c>
      <c r="F143" s="12" t="inlineStr">
        <is>
          <t>$13  ($$)</t>
        </is>
      </c>
    </row>
    <row r="144" outlineLevel="1" ht="15" customHeight="1">
      <c r="A144" s="45" t="inlineStr">
        <is>
          <t>Difficulty</t>
        </is>
      </c>
      <c r="B144" s="12" t="inlineStr">
        <is>
          <t>2 — Easy — breadboard wiring, a well-documented library, no analog thought needed</t>
        </is>
      </c>
    </row>
    <row r="145" outlineLevel="1" ht="25" customHeight="1">
      <c r="A145" s="45" t="inlineStr">
        <is>
          <t>HOW</t>
        </is>
      </c>
      <c r="B145" s="46" t="inlineStr">
        <is>
          <t>MCP9600 integrates the amplifier, cold-junction sensor and math for any thermocouple type, with I2C output and alert pins — easier than MAX31855 for multi-type setups.</t>
        </is>
      </c>
    </row>
    <row r="146" outlineLevel="1" ht="17" customHeight="1">
      <c r="A146" s="45" t="inlineStr">
        <is>
          <t>COMMON</t>
        </is>
      </c>
      <c r="B146" s="46" t="inlineStr">
        <is>
          <t>Multi-zone kilns/ovens, engine test stands, heat-treat monitoring.</t>
        </is>
      </c>
    </row>
    <row r="147" outlineLevel="1" ht="21" customHeight="1">
      <c r="A147" s="45" t="inlineStr">
        <is>
          <t>INVENTION</t>
        </is>
      </c>
      <c r="B147" s="48" t="inlineStr">
        <is>
          <t>A BBQ brain with 4 probes (pit, meat x2, ambient) that learns your smoker's dynamics and texts you when to wrap.</t>
        </is>
      </c>
    </row>
    <row r="148" outlineLevel="1" ht="16" customHeight="1">
      <c r="A148" s="45" t="inlineStr">
        <is>
          <t>PAIRS</t>
        </is>
      </c>
      <c r="B148" s="46" t="inlineStr">
        <is>
          <t>PID + fan (PWM) for temperature-controlled smoke</t>
        </is>
      </c>
    </row>
    <row r="149" outlineLevel="1" ht="15" customHeight="1">
      <c r="A149" s="45" t="inlineStr">
        <is>
          <t>KEY</t>
        </is>
      </c>
      <c r="B149" s="46" t="inlineStr">
        <is>
          <t>±1.5°C, 8 thermocouple types, 4 alert outputs</t>
        </is>
      </c>
    </row>
    <row r="150" outlineLevel="1" ht="16" customHeight="1">
      <c r="A150" s="45" t="inlineStr">
        <is>
          <t>buy</t>
        </is>
      </c>
      <c r="B150" s="49" t="inlineStr">
        <is>
          <t>AF · SF · DK   |   boards: Adafruit MCP9600 (4101), SparkFun Qwiic MCP9600   |   lib: Adafruit_MCP9600   [High]</t>
        </is>
      </c>
    </row>
    <row r="152" ht="22" customHeight="1">
      <c r="A152" s="56" t="inlineStr">
        <is>
          <t>S011</t>
        </is>
      </c>
      <c r="B152" s="57" t="inlineStr">
        <is>
          <t>DHT22 / AM2302   ·   DHT22</t>
        </is>
      </c>
    </row>
    <row r="153" outlineLevel="1" ht="15" customHeight="1">
      <c r="A153" s="45" t="inlineStr">
        <is>
          <t>Category</t>
        </is>
      </c>
      <c r="B153" s="12" t="inlineStr">
        <is>
          <t>Humidity &amp; Moisture › Budget classic</t>
        </is>
      </c>
      <c r="E153" s="45" t="inlineStr">
        <is>
          <t>Measures</t>
        </is>
      </c>
      <c r="F153" s="12" t="inlineStr">
        <is>
          <t>Relative humidity 0-100% + temperature</t>
        </is>
      </c>
    </row>
    <row r="154" outlineLevel="1" ht="15" customHeight="1">
      <c r="A154" s="45" t="inlineStr">
        <is>
          <t>Modality</t>
        </is>
      </c>
      <c r="B154" s="12" t="inlineStr">
        <is>
          <t>Chemical</t>
        </is>
      </c>
      <c r="E154" s="45" t="inlineStr">
        <is>
          <t>Interface</t>
        </is>
      </c>
      <c r="F154" s="12" t="inlineStr">
        <is>
          <t>1-Wire</t>
        </is>
      </c>
    </row>
    <row r="155" outlineLevel="1" ht="15" customHeight="1">
      <c r="A155" s="45" t="inlineStr">
        <is>
          <t>Supply</t>
        </is>
      </c>
      <c r="B155" s="12" t="inlineStr">
        <is>
          <t>3.3-5.5V</t>
        </is>
      </c>
      <c r="E155" s="45" t="inlineStr">
        <is>
          <t>Price</t>
        </is>
      </c>
      <c r="F155" s="12" t="inlineStr">
        <is>
          <t>$4  ($)</t>
        </is>
      </c>
    </row>
    <row r="156" outlineLevel="1" ht="15" customHeight="1">
      <c r="A156" s="45" t="inlineStr">
        <is>
          <t>Difficulty</t>
        </is>
      </c>
      <c r="B156" s="12" t="inlineStr">
        <is>
          <t>1 — Plug and play — Qwiic/STEMMA cable or 3 wires, library example works first time</t>
        </is>
      </c>
    </row>
    <row r="157" outlineLevel="1" ht="25" customHeight="1">
      <c r="A157" s="45" t="inlineStr">
        <is>
          <t>HOW</t>
        </is>
      </c>
      <c r="B157" s="46" t="inlineStr">
        <is>
          <t>A capacitive polymer absorbs moisture and changes capacitance; the onboard chip digitises humidity and temp and bit-bangs them out one wire. Slow (2s) but dirt cheap.</t>
        </is>
      </c>
    </row>
    <row r="158" outlineLevel="1" ht="38" customHeight="1">
      <c r="A158" s="45" t="inlineStr">
        <is>
          <t>WHAT</t>
        </is>
      </c>
      <c r="B158" s="47" t="inlineStr">
        <is>
          <t>The single-wire protocol is timing-critical and unreliable under interrupt load — Wi-Fi activity causes dropped reads, which people misdiagnose as a dead sensor. It cannot be read faster than every two seconds. Accuracy degrades permanently after prolonged condensation. Use an AHT20 or SHT41 instead in any new design.</t>
        </is>
      </c>
    </row>
    <row r="159" outlineLevel="1" ht="19" customHeight="1">
      <c r="A159" s="45" t="inlineStr">
        <is>
          <t>COMMON</t>
        </is>
      </c>
      <c r="B159" s="46" t="inlineStr">
        <is>
          <t>Weather stations, terrarium control, basement damp alarms, classic starter projects.</t>
        </is>
      </c>
    </row>
    <row r="160" outlineLevel="1" ht="22" customHeight="1">
      <c r="A160" s="45" t="inlineStr">
        <is>
          <t>INVENTION</t>
        </is>
      </c>
      <c r="B160" s="48" t="inlineStr">
        <is>
          <t>Use as 'wet towel detectors' — RH spike near a hung towel reveals shower events and drying time for a bathroom-fan auto-controller.</t>
        </is>
      </c>
    </row>
    <row r="161" outlineLevel="1" ht="16" customHeight="1">
      <c r="A161" s="45" t="inlineStr">
        <is>
          <t>SUBSTITUT</t>
        </is>
      </c>
      <c r="B161" s="46" t="inlineStr">
        <is>
          <t>Strictly better and cheaper: AHT20. Reference-grade: SHT41.</t>
        </is>
      </c>
    </row>
    <row r="162" outlineLevel="1" ht="16" customHeight="1">
      <c r="A162" s="45" t="inlineStr">
        <is>
          <t>PAIRS</t>
        </is>
      </c>
      <c r="B162" s="46" t="inlineStr">
        <is>
          <t>Relay for exhaust fan, ePaper for room comfort display</t>
        </is>
      </c>
    </row>
    <row r="163" outlineLevel="1" ht="15" customHeight="1">
      <c r="A163" s="45" t="inlineStr">
        <is>
          <t>KEY</t>
        </is>
      </c>
      <c r="B163" s="46" t="inlineStr">
        <is>
          <t>±2-5% RH, ±0.5°C, 0.5Hz max read rate</t>
        </is>
      </c>
    </row>
    <row r="164" outlineLevel="1" ht="27" customHeight="1">
      <c r="A164" s="45" t="inlineStr">
        <is>
          <t>specs</t>
        </is>
      </c>
      <c r="B164" s="49" t="inlineStr">
        <is>
          <t>Range: 0-100% RH, -40 to +80°C   Accuracy: ±2-5% RH, ±0.5°C   Rate: 0.5 Hz maximum   Calibration: None   Environment: Indoor   Lifecycle: NRND   Maturity: Good   ESP32: Any variant, but timing sensitivity makes it a poor fit for busy firmware</t>
        </is>
      </c>
    </row>
    <row r="165" outlineLevel="1" ht="16" customHeight="1">
      <c r="A165" s="45" t="inlineStr">
        <is>
          <t>buy</t>
        </is>
      </c>
      <c r="B165" s="49" t="inlineStr">
        <is>
          <t>AE · AMZ · DFR · CE   |   boards: Bare 4-pin or PCB module with pull-up   |   lib: DHT sensor library (Adafruit)   [High, 2026-07]</t>
        </is>
      </c>
    </row>
    <row r="166" outlineLevel="1" ht="30" customHeight="1">
      <c r="A166" s="50" t="inlineStr">
        <is>
          <t>unlocks</t>
        </is>
      </c>
      <c r="B166" s="51" t="inlineStr">
        <is>
          <t>Is this surface going to grow mould?  •  Is the air dry enough to damage wood, skin or instruments?  •  Is this room stuffy — does it need fresh air?</t>
        </is>
      </c>
    </row>
    <row r="168" ht="22" customHeight="1">
      <c r="A168" s="56" t="inlineStr">
        <is>
          <t>S012</t>
        </is>
      </c>
      <c r="B168" s="57" t="inlineStr">
        <is>
          <t>SHT41 humidity + temp   ·   SHT41 / SHT40 / SHT45</t>
        </is>
      </c>
    </row>
    <row r="169" outlineLevel="1" ht="15" customHeight="1">
      <c r="A169" s="45" t="inlineStr">
        <is>
          <t>Category</t>
        </is>
      </c>
      <c r="B169" s="12" t="inlineStr">
        <is>
          <t>Humidity &amp; Moisture › Modern precision</t>
        </is>
      </c>
      <c r="E169" s="45" t="inlineStr">
        <is>
          <t>Measures</t>
        </is>
      </c>
      <c r="F169" s="12" t="inlineStr">
        <is>
          <t>RH 0-100% + temperature, fast and accurate</t>
        </is>
      </c>
    </row>
    <row r="170" outlineLevel="1" ht="15" customHeight="1">
      <c r="A170" s="45" t="inlineStr">
        <is>
          <t>Modality</t>
        </is>
      </c>
      <c r="B170" s="12" t="inlineStr">
        <is>
          <t>Chemical</t>
        </is>
      </c>
      <c r="E170" s="45" t="inlineStr">
        <is>
          <t>Interface</t>
        </is>
      </c>
      <c r="F170" s="12" t="inlineStr">
        <is>
          <t>I2C</t>
        </is>
      </c>
    </row>
    <row r="171" outlineLevel="1" ht="15" customHeight="1">
      <c r="A171" s="45" t="inlineStr">
        <is>
          <t>Supply</t>
        </is>
      </c>
      <c r="B171" s="12" t="inlineStr">
        <is>
          <t>1.1-3.6V</t>
        </is>
      </c>
      <c r="E171" s="45" t="inlineStr">
        <is>
          <t>Price</t>
        </is>
      </c>
      <c r="F171" s="12" t="inlineStr">
        <is>
          <t>$6  ($$)</t>
        </is>
      </c>
    </row>
    <row r="172" outlineLevel="1" ht="15" customHeight="1">
      <c r="A172" s="45" t="inlineStr">
        <is>
          <t>Difficulty</t>
        </is>
      </c>
      <c r="B172" s="12" t="inlineStr">
        <is>
          <t>1 — Plug and play — Qwiic/STEMMA cable or 3 wires, library example works first time</t>
        </is>
      </c>
    </row>
    <row r="173" outlineLevel="1" ht="26" customHeight="1">
      <c r="A173" s="45" t="inlineStr">
        <is>
          <t>HOW</t>
        </is>
      </c>
      <c r="B173" s="46" t="inlineStr">
        <is>
          <t>Sensirion's factory-calibrated CMOS sensor — a capacitive humidity element and bandgap temp sensor on one die with clean I2C output and an on-demand micro-heater to de-fog itself.</t>
        </is>
      </c>
    </row>
    <row r="174" outlineLevel="1" ht="46" customHeight="1">
      <c r="A174" s="45" t="inlineStr">
        <is>
          <t>WHAT</t>
        </is>
      </c>
      <c r="B174" s="47" t="inlineStr">
        <is>
          <t>Any self-heating from a nearby regulator biases RH downward, because RH depends on the sensor's own temperature — mount it away from heat sources and away from the ESP32. Prolonged exposure above 80% RH causes reversible drift; run the on-chip heater periodically to recover. Solvent vapours (fresh glue, conformal coating, sealant off-gassing) poison the polymer semi-permanently, so never pot it in silicone.</t>
        </is>
      </c>
    </row>
    <row r="175" outlineLevel="1" ht="20" customHeight="1">
      <c r="A175" s="45" t="inlineStr">
        <is>
          <t>COMMON</t>
        </is>
      </c>
      <c r="B175" s="46" t="inlineStr">
        <is>
          <t>Reference-grade room climate, humidor/instrument-case guardians, HVAC commissioning, mould-risk monitoring.</t>
        </is>
      </c>
    </row>
    <row r="176" outlineLevel="1" ht="22" customHeight="1">
      <c r="A176" s="45" t="inlineStr">
        <is>
          <t>INVENTION</t>
        </is>
      </c>
      <c r="B176" s="48" t="inlineStr">
        <is>
          <t>Compute dew point vs wall temp (add MLX90614) to predict exactly which wall corner will grow mould weeks before it does.</t>
        </is>
      </c>
    </row>
    <row r="177" outlineLevel="1" ht="18" customHeight="1">
      <c r="A177" s="45" t="inlineStr">
        <is>
          <t>SUBSTITUT</t>
        </is>
      </c>
      <c r="B177" s="46" t="inlineStr">
        <is>
          <t>Cheaper: AHT20. Outdoor-rated: SHT31 with a filter cap. Add pressure: BME280.</t>
        </is>
      </c>
    </row>
    <row r="178" outlineLevel="1" ht="16" customHeight="1">
      <c r="A178" s="45" t="inlineStr">
        <is>
          <t>PAIRS</t>
        </is>
      </c>
      <c r="B178" s="46" t="inlineStr">
        <is>
          <t>MLX90614 for condensation prediction, SCD41 for full IAQ</t>
        </is>
      </c>
    </row>
    <row r="179" outlineLevel="1" ht="15" customHeight="1">
      <c r="A179" s="45" t="inlineStr">
        <is>
          <t>KEY</t>
        </is>
      </c>
      <c r="B179" s="46" t="inlineStr">
        <is>
          <t>±1.8% RH, ±0.2°C (SHT45: ±1% RH)</t>
        </is>
      </c>
    </row>
    <row r="180" outlineLevel="1" ht="28" customHeight="1">
      <c r="A180" s="45" t="inlineStr">
        <is>
          <t>specs</t>
        </is>
      </c>
      <c r="B180" s="49" t="inlineStr">
        <is>
          <t>Range: 0-100% RH, -40 to +125°C   Accuracy: ±1.8% RH, ±0.2°C   Resolution: 0.01% RH   Rate: up to 10 Hz   I2C addr: 0x44 (0x45 on some variants)   Calibration: None   Environment: Indoor, Outdoor   Lifecycle: Active   Maturity: Excellent   ESP32: Any variant</t>
        </is>
      </c>
    </row>
    <row r="181" outlineLevel="1" ht="16" customHeight="1">
      <c r="A181" s="45" t="inlineStr">
        <is>
          <t>buy</t>
        </is>
      </c>
      <c r="B181" s="49" t="inlineStr">
        <is>
          <t>AF · SF · DK · MO · PI   |   boards: Adafruit 5776 STEMMA QT   |   lib: Adafruit_SHT4x, Sensirion arduino-core   [High, 2026-07]</t>
        </is>
      </c>
    </row>
    <row r="182" outlineLevel="1" ht="42" customHeight="1">
      <c r="A182" s="50" t="inlineStr">
        <is>
          <t>unlocks</t>
        </is>
      </c>
      <c r="B182" s="51" t="inlineStr">
        <is>
          <t>Is this surface going to grow mould?  •  Is the air dry enough to damage wood, skin or instruments?  •  Is this room stuffy — does it need fresh air?  •  Are conditions right for fungal disease?  •  Has the paint, resin or glue finished curing?</t>
        </is>
      </c>
    </row>
    <row r="184" ht="22" customHeight="1">
      <c r="A184" s="56" t="inlineStr">
        <is>
          <t>S013</t>
        </is>
      </c>
      <c r="B184" s="57" t="inlineStr">
        <is>
          <t>BME280 climate combo   ·   BME280</t>
        </is>
      </c>
    </row>
    <row r="185" outlineLevel="1" ht="15" customHeight="1">
      <c r="A185" s="45" t="inlineStr">
        <is>
          <t>Category</t>
        </is>
      </c>
      <c r="B185" s="12" t="inlineStr">
        <is>
          <t>Humidity &amp; Moisture › 3-in-1 classic</t>
        </is>
      </c>
      <c r="E185" s="45" t="inlineStr">
        <is>
          <t>Measures</t>
        </is>
      </c>
      <c r="F185" s="12" t="inlineStr">
        <is>
          <t>Temperature + humidity + barometric pressure</t>
        </is>
      </c>
    </row>
    <row r="186" outlineLevel="1" ht="15" customHeight="1">
      <c r="A186" s="45" t="inlineStr">
        <is>
          <t>Modality</t>
        </is>
      </c>
      <c r="B186" s="12" t="inlineStr">
        <is>
          <t>Chemical</t>
        </is>
      </c>
      <c r="E186" s="45" t="inlineStr">
        <is>
          <t>Interface</t>
        </is>
      </c>
      <c r="F186" s="12" t="inlineStr">
        <is>
          <t>I2C / SPI</t>
        </is>
      </c>
    </row>
    <row r="187" outlineLevel="1" ht="15" customHeight="1">
      <c r="A187" s="45" t="inlineStr">
        <is>
          <t>Supply</t>
        </is>
      </c>
      <c r="B187" s="12" t="inlineStr">
        <is>
          <t>1.7-3.6V</t>
        </is>
      </c>
      <c r="E187" s="45" t="inlineStr">
        <is>
          <t>Price</t>
        </is>
      </c>
      <c r="F187" s="12" t="inlineStr">
        <is>
          <t>$6  ($$)</t>
        </is>
      </c>
    </row>
    <row r="188" outlineLevel="1" ht="15" customHeight="1">
      <c r="A188" s="45" t="inlineStr">
        <is>
          <t>Difficulty</t>
        </is>
      </c>
      <c r="B188" s="12" t="inlineStr">
        <is>
          <t>1 — Plug and play — Qwiic/STEMMA cable or 3 wires, library example works first time</t>
        </is>
      </c>
    </row>
    <row r="189" outlineLevel="1" ht="24" customHeight="1">
      <c r="A189" s="45" t="inlineStr">
        <is>
          <t>HOW</t>
        </is>
      </c>
      <c r="B189" s="46" t="inlineStr">
        <is>
          <t>Three MEMS sensors in one 2.5mm package: capacitive RH, bandgap temp, and a piezo-resistive pressure membrane. The default 'environment in one chip'.</t>
        </is>
      </c>
    </row>
    <row r="190" outlineLevel="1" ht="44" customHeight="1">
      <c r="A190" s="45" t="inlineStr">
        <is>
          <t>WHAT</t>
        </is>
      </c>
      <c r="B190" s="47" t="inlineStr">
        <is>
          <t>The most counterfeited sensor in the hobby: a large share of cheap boards sold as BME280 carry a BMP280 with no humidity sensor at all. Read the chip-ID register (0x60 = BME280, 0x58 = BMP280) before trusting anything. The address differs by board, which collides with gas sensors that also sit at 0x76. Self-heating from continuous high-oversampling reads biases both temperature and RH.</t>
        </is>
      </c>
    </row>
    <row r="191" outlineLevel="1" ht="18" customHeight="1">
      <c r="A191" s="45" t="inlineStr">
        <is>
          <t>COMMON</t>
        </is>
      </c>
      <c r="B191" s="46" t="inlineStr">
        <is>
          <t>Weather stations, altitude-aware hiking gadgets, indoor climate, drone barometers.</t>
        </is>
      </c>
    </row>
    <row r="192" outlineLevel="1" ht="24" customHeight="1">
      <c r="A192" s="45" t="inlineStr">
        <is>
          <t>INVENTION</t>
        </is>
      </c>
      <c r="B192" s="48" t="inlineStr">
        <is>
          <t>Two BME280s (inside + outside) + a window servo = a free-cooling butler that opens windows only when outdoor air will actually improve indoor comfort.</t>
        </is>
      </c>
    </row>
    <row r="193" outlineLevel="1" ht="18" customHeight="1">
      <c r="A193" s="45" t="inlineStr">
        <is>
          <t>SUBSTITUT</t>
        </is>
      </c>
      <c r="B193" s="46" t="inlineStr">
        <is>
          <t>Better humidity: SHT41. Better pressure: BMP390. Newer: BME688 adds gas.</t>
        </is>
      </c>
    </row>
    <row r="194" outlineLevel="1" ht="16" customHeight="1">
      <c r="A194" s="45" t="inlineStr">
        <is>
          <t>PAIRS</t>
        </is>
      </c>
      <c r="B194" s="46" t="inlineStr">
        <is>
          <t>Window/vent actuator, SGP40 for air quality context</t>
        </is>
      </c>
    </row>
    <row r="195" outlineLevel="1" ht="17" customHeight="1">
      <c r="A195" s="45" t="inlineStr">
        <is>
          <t>KEY</t>
        </is>
      </c>
      <c r="B195" s="46" t="inlineStr">
        <is>
          <t>±3% RH, ±1°C, ±1hPa; beware cheap clones shipping BMP280 (no humidity)</t>
        </is>
      </c>
    </row>
    <row r="196" outlineLevel="1" ht="27" customHeight="1">
      <c r="A196" s="45" t="inlineStr">
        <is>
          <t>specs</t>
        </is>
      </c>
      <c r="B196" s="49" t="inlineStr">
        <is>
          <t>Range: 0-100% RH, 300-1100 hPa, -40 to +85°C   Accuracy: ±3% RH, ±1 hPa, ±1°C   I2C addr: 0x76 or 0x77 (board-dependent)   Calibration: None   Environment: Indoor, Outdoor   Lifecycle: Active   Maturity: Excellent   ESP32: Any variant</t>
        </is>
      </c>
    </row>
    <row r="197" outlineLevel="1" ht="16" customHeight="1">
      <c r="A197" s="45" t="inlineStr">
        <is>
          <t>buy</t>
        </is>
      </c>
      <c r="B197" s="49" t="inlineStr">
        <is>
          <t>AF · SF · DK · AE · PI   |   boards: GY-BME280, Adafruit 2652   |   lib: Adafruit_BME280   [High, 2026-07]</t>
        </is>
      </c>
    </row>
    <row r="198" outlineLevel="1" ht="42" customHeight="1">
      <c r="A198" s="50" t="inlineStr">
        <is>
          <t>unlocks</t>
        </is>
      </c>
      <c r="B198" s="51" t="inlineStr">
        <is>
          <t>Is this surface going to grow mould?  •  Is this room stuffy — does it need fresh air?  •  Is a storm coming?  •  What altitude or floor am I on?  •  Is it open or closed?</t>
        </is>
      </c>
    </row>
    <row r="200" ht="22" customHeight="1">
      <c r="A200" s="54" t="inlineStr">
        <is>
          <t>S014</t>
        </is>
      </c>
      <c r="B200" s="55" t="inlineStr">
        <is>
          <t>HDC3022 humidity + temp   ·   HDC3022 / HDC2080</t>
        </is>
      </c>
    </row>
    <row r="201" outlineLevel="1" ht="15" customHeight="1">
      <c r="A201" s="45" t="inlineStr">
        <is>
          <t>Category</t>
        </is>
      </c>
      <c r="B201" s="12" t="inlineStr">
        <is>
          <t>Humidity &amp; Moisture › Modern precision</t>
        </is>
      </c>
      <c r="E201" s="45" t="inlineStr">
        <is>
          <t>Measures</t>
        </is>
      </c>
      <c r="F201" s="12" t="inlineStr">
        <is>
          <t>RH + temp with auto-measurement &amp; alert thresholds</t>
        </is>
      </c>
    </row>
    <row r="202" outlineLevel="1" ht="15" customHeight="1">
      <c r="A202" s="45" t="inlineStr">
        <is>
          <t>Modality</t>
        </is>
      </c>
      <c r="B202" s="12" t="inlineStr">
        <is>
          <t>—</t>
        </is>
      </c>
      <c r="E202" s="45" t="inlineStr">
        <is>
          <t>Interface</t>
        </is>
      </c>
      <c r="F202" s="12" t="inlineStr">
        <is>
          <t>I2C</t>
        </is>
      </c>
    </row>
    <row r="203" outlineLevel="1" ht="15" customHeight="1">
      <c r="A203" s="45" t="inlineStr">
        <is>
          <t>Supply</t>
        </is>
      </c>
      <c r="B203" s="12" t="inlineStr">
        <is>
          <t>1.62-5.5V</t>
        </is>
      </c>
      <c r="E203" s="45" t="inlineStr">
        <is>
          <t>Price</t>
        </is>
      </c>
      <c r="F203" s="12" t="inlineStr">
        <is>
          <t>$7  ($$)</t>
        </is>
      </c>
    </row>
    <row r="204" outlineLevel="1" ht="15" customHeight="1">
      <c r="A204" s="45" t="inlineStr">
        <is>
          <t>Difficulty</t>
        </is>
      </c>
      <c r="B204" s="12" t="inlineStr">
        <is>
          <t>1 — Plug and play — Qwiic/STEMMA cable or 3 wires, library example works first time</t>
        </is>
      </c>
    </row>
    <row r="205" outlineLevel="1" ht="25" customHeight="1">
      <c r="A205" s="45" t="inlineStr">
        <is>
          <t>HOW</t>
        </is>
      </c>
      <c r="B205" s="46" t="inlineStr">
        <is>
          <t>TI's capacitive RH sensor that can wake itself on a schedule, compare against your thresholds, and raise an interrupt — your ESP32 sleeps through the boring parts.</t>
        </is>
      </c>
    </row>
    <row r="206" outlineLevel="1" ht="19" customHeight="1">
      <c r="A206" s="45" t="inlineStr">
        <is>
          <t>COMMON</t>
        </is>
      </c>
      <c r="B206" s="46" t="inlineStr">
        <is>
          <t>Battery humidity tags, shipping-container condensation alarms, sealed-enclosure health.</t>
        </is>
      </c>
    </row>
    <row r="207" outlineLevel="1" ht="24" customHeight="1">
      <c r="A207" s="45" t="inlineStr">
        <is>
          <t>INVENTION</t>
        </is>
      </c>
      <c r="B207" s="48" t="inlineStr">
        <is>
          <t>Pot a unit inside your outdoor project boxes as a 'gasket failure detector' — RH creep inside a sealed box is the first sign water is getting in.</t>
        </is>
      </c>
    </row>
    <row r="208" outlineLevel="1" ht="16" customHeight="1">
      <c r="A208" s="45" t="inlineStr">
        <is>
          <t>PAIRS</t>
        </is>
      </c>
      <c r="B208" s="46" t="inlineStr">
        <is>
          <t>Deep sleep + alert pin, LoRa for container fleets</t>
        </is>
      </c>
    </row>
    <row r="209" outlineLevel="1" ht="15" customHeight="1">
      <c r="A209" s="45" t="inlineStr">
        <is>
          <t>KEY</t>
        </is>
      </c>
      <c r="B209" s="46" t="inlineStr">
        <is>
          <t>±1.5% RH, ±0.2°C, offset-error correction</t>
        </is>
      </c>
    </row>
    <row r="210" outlineLevel="1" ht="16" customHeight="1">
      <c r="A210" s="45" t="inlineStr">
        <is>
          <t>buy</t>
        </is>
      </c>
      <c r="B210" s="49" t="inlineStr">
        <is>
          <t>AF · DK · MO   |   boards: Adafruit 5989   |   lib: Adafruit_HDC302x   [High]</t>
        </is>
      </c>
    </row>
    <row r="212" ht="22" customHeight="1">
      <c r="A212" s="54" t="inlineStr">
        <is>
          <t>S015</t>
        </is>
      </c>
      <c r="B212" s="55" t="inlineStr">
        <is>
          <t>SHT31 weatherproof probe   ·   SHT31 / SHT35</t>
        </is>
      </c>
    </row>
    <row r="213" outlineLevel="1" ht="15" customHeight="1">
      <c r="A213" s="45" t="inlineStr">
        <is>
          <t>Category</t>
        </is>
      </c>
      <c r="B213" s="12" t="inlineStr">
        <is>
          <t>Humidity &amp; Moisture › Rugged outdoor</t>
        </is>
      </c>
      <c r="E213" s="45" t="inlineStr">
        <is>
          <t>Measures</t>
        </is>
      </c>
      <c r="F213" s="12" t="inlineStr">
        <is>
          <t>RH + temp in sealed/filtered packaging</t>
        </is>
      </c>
    </row>
    <row r="214" outlineLevel="1" ht="15" customHeight="1">
      <c r="A214" s="45" t="inlineStr">
        <is>
          <t>Modality</t>
        </is>
      </c>
      <c r="B214" s="12" t="inlineStr">
        <is>
          <t>—</t>
        </is>
      </c>
      <c r="E214" s="45" t="inlineStr">
        <is>
          <t>Interface</t>
        </is>
      </c>
      <c r="F214" s="12" t="inlineStr">
        <is>
          <t>I2C</t>
        </is>
      </c>
    </row>
    <row r="215" outlineLevel="1" ht="15" customHeight="1">
      <c r="A215" s="45" t="inlineStr">
        <is>
          <t>Supply</t>
        </is>
      </c>
      <c r="B215" s="12" t="inlineStr">
        <is>
          <t>2.4-5.5V</t>
        </is>
      </c>
      <c r="E215" s="45" t="inlineStr">
        <is>
          <t>Price</t>
        </is>
      </c>
      <c r="F215" s="12" t="inlineStr">
        <is>
          <t>$12  ($$)</t>
        </is>
      </c>
    </row>
    <row r="216" outlineLevel="1" ht="15" customHeight="1">
      <c r="A216" s="45" t="inlineStr">
        <is>
          <t>Difficulty</t>
        </is>
      </c>
      <c r="B216" s="12" t="inlineStr">
        <is>
          <t>1 — Plug and play — Qwiic/STEMMA cable or 3 wires, library example works first time</t>
        </is>
      </c>
    </row>
    <row r="217" outlineLevel="1" ht="22" customHeight="1">
      <c r="A217" s="45" t="inlineStr">
        <is>
          <t>HOW</t>
        </is>
      </c>
      <c r="B217" s="46" t="inlineStr">
        <is>
          <t>The SHT3x element inside a sintered-metal or PTFE membrane cap — water vapour passes, rain and dust don't, so it survives outdoors.</t>
        </is>
      </c>
    </row>
    <row r="218" outlineLevel="1" ht="20" customHeight="1">
      <c r="A218" s="45" t="inlineStr">
        <is>
          <t>COMMON</t>
        </is>
      </c>
      <c r="B218" s="46" t="inlineStr">
        <is>
          <t>Outdoor weather nodes, greenhouses (high humidity kills naked sensors), bathrooms, mushroom farms.</t>
        </is>
      </c>
    </row>
    <row r="219" outlineLevel="1" ht="22" customHeight="1">
      <c r="A219" s="45" t="inlineStr">
        <is>
          <t>INVENTION</t>
        </is>
      </c>
      <c r="B219" s="48" t="inlineStr">
        <is>
          <t>Mushroom fruiting chamber autopilot: SHT35 + ultrasonic mister + fan, holding 90% RH with tight hysteresis — a $30 mycology lab.</t>
        </is>
      </c>
    </row>
    <row r="220" outlineLevel="1" ht="16" customHeight="1">
      <c r="A220" s="45" t="inlineStr">
        <is>
          <t>PAIRS</t>
        </is>
      </c>
      <c r="B220" s="46" t="inlineStr">
        <is>
          <t>Ultrasonic mister (relay), SCD41 (fungi exhale CO2!)</t>
        </is>
      </c>
    </row>
    <row r="221" outlineLevel="1" ht="15" customHeight="1">
      <c r="A221" s="45" t="inlineStr">
        <is>
          <t>KEY</t>
        </is>
      </c>
      <c r="B221" s="46" t="inlineStr">
        <is>
          <t>±2% RH (SHT35 ±1.5%), IP65-ish probe variants</t>
        </is>
      </c>
    </row>
    <row r="222" outlineLevel="1" ht="16" customHeight="1">
      <c r="A222" s="45" t="inlineStr">
        <is>
          <t>buy</t>
        </is>
      </c>
      <c r="B222" s="49" t="inlineStr">
        <is>
          <t>AF · DK · AE · DFR   |   boards: Adafruit 4099 weatherproof, cable probe versions   |   lib: Adafruit_SHT31   [High]</t>
        </is>
      </c>
    </row>
    <row r="224" ht="22" customHeight="1">
      <c r="A224" s="58" t="inlineStr">
        <is>
          <t>S016</t>
        </is>
      </c>
      <c r="B224" s="59" t="inlineStr">
        <is>
          <t>BMP390 precision barometer   ·   BMP390 / BMP388</t>
        </is>
      </c>
    </row>
    <row r="225" outlineLevel="1" ht="15" customHeight="1">
      <c r="A225" s="45" t="inlineStr">
        <is>
          <t>Category</t>
        </is>
      </c>
      <c r="B225" s="12" t="inlineStr">
        <is>
          <t>Pressure &amp; Altitude › Barometric</t>
        </is>
      </c>
      <c r="E225" s="45" t="inlineStr">
        <is>
          <t>Measures</t>
        </is>
      </c>
      <c r="F225" s="12" t="inlineStr">
        <is>
          <t>Air pressure 300-1250 hPa → altitude to ±25cm</t>
        </is>
      </c>
    </row>
    <row r="226" outlineLevel="1" ht="15" customHeight="1">
      <c r="A226" s="45" t="inlineStr">
        <is>
          <t>Modality</t>
        </is>
      </c>
      <c r="B226" s="12" t="inlineStr">
        <is>
          <t>Mechanical</t>
        </is>
      </c>
      <c r="E226" s="45" t="inlineStr">
        <is>
          <t>Interface</t>
        </is>
      </c>
      <c r="F226" s="12" t="inlineStr">
        <is>
          <t>I2C / SPI</t>
        </is>
      </c>
    </row>
    <row r="227" outlineLevel="1" ht="15" customHeight="1">
      <c r="A227" s="45" t="inlineStr">
        <is>
          <t>Supply</t>
        </is>
      </c>
      <c r="B227" s="12" t="inlineStr">
        <is>
          <t>1.65-3.6V</t>
        </is>
      </c>
      <c r="E227" s="45" t="inlineStr">
        <is>
          <t>Price</t>
        </is>
      </c>
      <c r="F227" s="12" t="inlineStr">
        <is>
          <t>$10  ($$)</t>
        </is>
      </c>
    </row>
    <row r="228" outlineLevel="1" ht="15" customHeight="1">
      <c r="A228" s="45" t="inlineStr">
        <is>
          <t>Difficulty</t>
        </is>
      </c>
      <c r="B228" s="12" t="inlineStr">
        <is>
          <t>1 — Plug and play — Qwiic/STEMMA cable or 3 wires, library example works first time</t>
        </is>
      </c>
    </row>
    <row r="229" outlineLevel="1" ht="27" customHeight="1">
      <c r="A229" s="45" t="inlineStr">
        <is>
          <t>HOW</t>
        </is>
      </c>
      <c r="B229" s="46" t="inlineStr">
        <is>
          <t>A tiny membrane flexes with air pressure, changing resistance; 24-bit conversion makes it sensitive enough to detect a 25cm height change — or someone opening a door down the hall.</t>
        </is>
      </c>
    </row>
    <row r="230" outlineLevel="1" ht="42" customHeight="1">
      <c r="A230" s="45" t="inlineStr">
        <is>
          <t>WHAT</t>
        </is>
      </c>
      <c r="B230" s="47" t="inlineStr">
        <is>
          <t>Absolute altitude is meaningless without a local sea-level pressure reference that changes hourly with weather — only RELATIVE altitude over minutes is trustworthy. Wind gusts across a vent hole produce metres of apparent altitude change; any outdoor or moving install needs a baffled port. Sunlight on the package causes thermal transients that look like altitude drift.</t>
        </is>
      </c>
    </row>
    <row r="231" outlineLevel="1" ht="19" customHeight="1">
      <c r="A231" s="45" t="inlineStr">
        <is>
          <t>COMMON</t>
        </is>
      </c>
      <c r="B231" s="46" t="inlineStr">
        <is>
          <t>Drone altitude hold, hiking altimeters, weather trend prediction, elevator floor detection.</t>
        </is>
      </c>
    </row>
    <row r="232" outlineLevel="1" ht="24" customHeight="1">
      <c r="A232" s="45" t="inlineStr">
        <is>
          <t>INVENTION</t>
        </is>
      </c>
      <c r="B232" s="48" t="inlineStr">
        <is>
          <t>Detect which floor a backpack is on, stair-vs-elevator activity classification, or door-slam events from pressure spikes — all from one sealed chip.</t>
        </is>
      </c>
    </row>
    <row r="233" outlineLevel="1" ht="17" customHeight="1">
      <c r="A233" s="45" t="inlineStr">
        <is>
          <t>SUBSTITUT</t>
        </is>
      </c>
      <c r="B233" s="46" t="inlineStr">
        <is>
          <t>Lower noise for fast relative work: DPS310. Cheapest: BMP280.</t>
        </is>
      </c>
    </row>
    <row r="234" outlineLevel="1" ht="17" customHeight="1">
      <c r="A234" s="45" t="inlineStr">
        <is>
          <t>PAIRS</t>
        </is>
      </c>
      <c r="B234" s="46" t="inlineStr">
        <is>
          <t>IMU for dead-reckoning + altitude fusion, GPS for absolute calibration</t>
        </is>
      </c>
    </row>
    <row r="235" outlineLevel="1" ht="15" customHeight="1">
      <c r="A235" s="45" t="inlineStr">
        <is>
          <t>KEY</t>
        </is>
      </c>
      <c r="B235" s="46" t="inlineStr">
        <is>
          <t>±3Pa relative (≈±25cm), ±50Pa absolute</t>
        </is>
      </c>
    </row>
    <row r="236" outlineLevel="1" ht="28" customHeight="1">
      <c r="A236" s="45" t="inlineStr">
        <is>
          <t>specs</t>
        </is>
      </c>
      <c r="B236" s="49" t="inlineStr">
        <is>
          <t>Range: 300-1250 hPa   Accuracy: ±50 Pa absolute, ±3 Pa relative   Resolution: 0.016 Pa   Rate: up to 200 Hz   I2C addr: 0x76 or 0x77   Calibration: One-point   Environment: Indoor, Outdoor   Lifecycle: Active   Maturity: Excellent   ESP32: Any variant</t>
        </is>
      </c>
    </row>
    <row r="237" outlineLevel="1" ht="16" customHeight="1">
      <c r="A237" s="45" t="inlineStr">
        <is>
          <t>buy</t>
        </is>
      </c>
      <c r="B237" s="49" t="inlineStr">
        <is>
          <t>AF · SF · DK · MO   |   boards: Adafruit 4816   |   lib: Adafruit_BMP3XX   [High, 2026-07]</t>
        </is>
      </c>
    </row>
    <row r="238" outlineLevel="1" ht="36" customHeight="1">
      <c r="A238" s="50" t="inlineStr">
        <is>
          <t>unlocks</t>
        </is>
      </c>
      <c r="B238" s="51" t="inlineStr">
        <is>
          <t>What altitude or floor am I on?  •  Is a storm coming?  •  Is it open or closed?  •  Am I back at the exact same place?</t>
        </is>
      </c>
    </row>
    <row r="240" ht="22" customHeight="1">
      <c r="A240" s="54" t="inlineStr">
        <is>
          <t>S017</t>
        </is>
      </c>
      <c r="B240" s="55" t="inlineStr">
        <is>
          <t>DPS310 barometer   ·   DPS310</t>
        </is>
      </c>
    </row>
    <row r="241" outlineLevel="1" ht="15" customHeight="1">
      <c r="A241" s="45" t="inlineStr">
        <is>
          <t>Category</t>
        </is>
      </c>
      <c r="B241" s="12" t="inlineStr">
        <is>
          <t>Pressure &amp; Altitude › Barometric</t>
        </is>
      </c>
      <c r="E241" s="45" t="inlineStr">
        <is>
          <t>Measures</t>
        </is>
      </c>
      <c r="F241" s="12" t="inlineStr">
        <is>
          <t>Air pressure + temp; ~±5cm relative altitude in low-noise modes</t>
        </is>
      </c>
    </row>
    <row r="242" outlineLevel="1" ht="15" customHeight="1">
      <c r="A242" s="45" t="inlineStr">
        <is>
          <t>Modality</t>
        </is>
      </c>
      <c r="B242" s="12" t="inlineStr">
        <is>
          <t>—</t>
        </is>
      </c>
      <c r="E242" s="45" t="inlineStr">
        <is>
          <t>Interface</t>
        </is>
      </c>
      <c r="F242" s="12" t="inlineStr">
        <is>
          <t>I2C / SPI</t>
        </is>
      </c>
    </row>
    <row r="243" outlineLevel="1" ht="15" customHeight="1">
      <c r="A243" s="45" t="inlineStr">
        <is>
          <t>Supply</t>
        </is>
      </c>
      <c r="B243" s="12" t="inlineStr">
        <is>
          <t>1.7-3.6V</t>
        </is>
      </c>
      <c r="E243" s="45" t="inlineStr">
        <is>
          <t>Price</t>
        </is>
      </c>
      <c r="F243" s="12" t="inlineStr">
        <is>
          <t>$7  ($$)</t>
        </is>
      </c>
    </row>
    <row r="244" outlineLevel="1" ht="15" customHeight="1">
      <c r="A244" s="45" t="inlineStr">
        <is>
          <t>Difficulty</t>
        </is>
      </c>
      <c r="B244" s="12" t="inlineStr">
        <is>
          <t>1 — Plug and play — Qwiic/STEMMA cable or 3 wires, library example works first time</t>
        </is>
      </c>
    </row>
    <row r="245" outlineLevel="1" ht="24" customHeight="1">
      <c r="A245" s="45" t="inlineStr">
        <is>
          <t>HOW</t>
        </is>
      </c>
      <c r="B245" s="46" t="inlineStr">
        <is>
          <t>Capacitive pressure cell (rather than resistive) gives very low noise at low power — Infineon's answer to Bosch, great for fast relative-height tracking.</t>
        </is>
      </c>
    </row>
    <row r="246" outlineLevel="1" ht="18" customHeight="1">
      <c r="A246" s="45" t="inlineStr">
        <is>
          <t>COMMON</t>
        </is>
      </c>
      <c r="B246" s="46" t="inlineStr">
        <is>
          <t>Gesture-by-altitude wearables, drone landing detection, HVAC duct static pressure.</t>
        </is>
      </c>
    </row>
    <row r="247" outlineLevel="1" ht="22" customHeight="1">
      <c r="A247" s="45" t="inlineStr">
        <is>
          <t>INVENTION</t>
        </is>
      </c>
      <c r="B247" s="48" t="inlineStr">
        <is>
          <t>A 'which shelf is it on' asset tag: barometric fingerprint tells you shelf height within a warehouse rack, no infrastructure.</t>
        </is>
      </c>
    </row>
    <row r="248" outlineLevel="1" ht="17" customHeight="1">
      <c r="A248" s="45" t="inlineStr">
        <is>
          <t>PAIRS</t>
        </is>
      </c>
      <c r="B248" s="46" t="inlineStr">
        <is>
          <t>BLE beacon + DPS310 = 3D-ish indoor positioning on the cheap</t>
        </is>
      </c>
    </row>
    <row r="249" outlineLevel="1" ht="15" customHeight="1">
      <c r="A249" s="45" t="inlineStr">
        <is>
          <t>KEY</t>
        </is>
      </c>
      <c r="B249" s="46" t="inlineStr">
        <is>
          <t>±0.005hPa precision (~±5cm), 32Hz+ modes</t>
        </is>
      </c>
    </row>
    <row r="250" outlineLevel="1" ht="16" customHeight="1">
      <c r="A250" s="45" t="inlineStr">
        <is>
          <t>buy</t>
        </is>
      </c>
      <c r="B250" s="49" t="inlineStr">
        <is>
          <t>AF · DK · MO   |   boards: Adafruit 4494   |   lib: Adafruit_DPS310   [High]</t>
        </is>
      </c>
    </row>
    <row r="252" ht="22" customHeight="1">
      <c r="A252" s="54" t="inlineStr">
        <is>
          <t>S018</t>
        </is>
      </c>
      <c r="B252" s="55" t="inlineStr">
        <is>
          <t>MS5611 high-res altimeter   ·   MS5611-01BA03</t>
        </is>
      </c>
    </row>
    <row r="253" outlineLevel="1" ht="15" customHeight="1">
      <c r="A253" s="45" t="inlineStr">
        <is>
          <t>Category</t>
        </is>
      </c>
      <c r="B253" s="12" t="inlineStr">
        <is>
          <t>Pressure &amp; Altitude › Barometric</t>
        </is>
      </c>
      <c r="E253" s="45" t="inlineStr">
        <is>
          <t>Measures</t>
        </is>
      </c>
      <c r="F253" s="12" t="inlineStr">
        <is>
          <t>Pressure 10-1200 mbar, the drone-racing standard</t>
        </is>
      </c>
    </row>
    <row r="254" outlineLevel="1" ht="15" customHeight="1">
      <c r="A254" s="45" t="inlineStr">
        <is>
          <t>Modality</t>
        </is>
      </c>
      <c r="B254" s="12" t="inlineStr">
        <is>
          <t>—</t>
        </is>
      </c>
      <c r="E254" s="45" t="inlineStr">
        <is>
          <t>Interface</t>
        </is>
      </c>
      <c r="F254" s="12" t="inlineStr">
        <is>
          <t>I2C / SPI</t>
        </is>
      </c>
    </row>
    <row r="255" outlineLevel="1" ht="15" customHeight="1">
      <c r="A255" s="45" t="inlineStr">
        <is>
          <t>Supply</t>
        </is>
      </c>
      <c r="B255" s="12" t="inlineStr">
        <is>
          <t>1.8-3.6V</t>
        </is>
      </c>
      <c r="E255" s="45" t="inlineStr">
        <is>
          <t>Price</t>
        </is>
      </c>
      <c r="F255" s="12" t="inlineStr">
        <is>
          <t>$6  ($$)</t>
        </is>
      </c>
    </row>
    <row r="256" outlineLevel="1" ht="15" customHeight="1">
      <c r="A256" s="45" t="inlineStr">
        <is>
          <t>Difficulty</t>
        </is>
      </c>
      <c r="B256" s="12" t="inlineStr">
        <is>
          <t>2 — Easy — breadboard wiring, a well-documented library, no analog thought needed</t>
        </is>
      </c>
    </row>
    <row r="257" outlineLevel="1" ht="23" customHeight="1">
      <c r="A257" s="45" t="inlineStr">
        <is>
          <t>HOW</t>
        </is>
      </c>
      <c r="B257" s="46" t="inlineStr">
        <is>
          <t>Piezo-resistive cell with factory coefficients stored on-chip; you apply a documented compensation formula for very stable 10cm-class altitude.</t>
        </is>
      </c>
    </row>
    <row r="258" outlineLevel="1" ht="18" customHeight="1">
      <c r="A258" s="45" t="inlineStr">
        <is>
          <t>COMMON</t>
        </is>
      </c>
      <c r="B258" s="46" t="inlineStr">
        <is>
          <t>Flight controllers, model rocketry apogee detection, variometers for paragliding.</t>
        </is>
      </c>
    </row>
    <row r="259" outlineLevel="1" ht="23" customHeight="1">
      <c r="A259" s="45" t="inlineStr">
        <is>
          <t>INVENTION</t>
        </is>
      </c>
      <c r="B259" s="48" t="inlineStr">
        <is>
          <t>A pocket variometer that beeps lift for paraglider pilots — MS5611 + buzzer + ESP32-C3 in a soap-box case is a $15 build vs $200 retail.</t>
        </is>
      </c>
    </row>
    <row r="260" outlineLevel="1" ht="17" customHeight="1">
      <c r="A260" s="45" t="inlineStr">
        <is>
          <t>PAIRS</t>
        </is>
      </c>
      <c r="B260" s="46" t="inlineStr">
        <is>
          <t>Buzzer (audio vario), GPS for glide computer, SD flight logs</t>
        </is>
      </c>
    </row>
    <row r="261" outlineLevel="1" ht="16" customHeight="1">
      <c r="A261" s="45" t="inlineStr">
        <is>
          <t>KEY</t>
        </is>
      </c>
      <c r="B261" s="46" t="inlineStr">
        <is>
          <t>0.012 mbar resolution (high OSR), fast 8ms conversion</t>
        </is>
      </c>
    </row>
    <row r="262" outlineLevel="1" ht="16" customHeight="1">
      <c r="A262" s="45" t="inlineStr">
        <is>
          <t>buy</t>
        </is>
      </c>
      <c r="B262" s="49" t="inlineStr">
        <is>
          <t>AE · DK · MO · AMZ   |   boards: GY-63, GY-86 (with IMU)   |   lib: MS5611 Arduino libs   [High]</t>
        </is>
      </c>
    </row>
    <row r="264" ht="22" customHeight="1">
      <c r="A264" s="54" t="inlineStr">
        <is>
          <t>S019</t>
        </is>
      </c>
      <c r="B264" s="55" t="inlineStr">
        <is>
          <t>LPS22HB pressure sensor   ·   LPS22HB / LPS28DFW</t>
        </is>
      </c>
    </row>
    <row r="265" outlineLevel="1" ht="15" customHeight="1">
      <c r="A265" s="45" t="inlineStr">
        <is>
          <t>Category</t>
        </is>
      </c>
      <c r="B265" s="12" t="inlineStr">
        <is>
          <t>Pressure &amp; Altitude › Barometric</t>
        </is>
      </c>
      <c r="E265" s="45" t="inlineStr">
        <is>
          <t>Measures</t>
        </is>
      </c>
      <c r="F265" s="12" t="inlineStr">
        <is>
          <t>Pressure 260-1260 hPa; LPS28 does water depth too</t>
        </is>
      </c>
    </row>
    <row r="266" outlineLevel="1" ht="15" customHeight="1">
      <c r="A266" s="45" t="inlineStr">
        <is>
          <t>Modality</t>
        </is>
      </c>
      <c r="B266" s="12" t="inlineStr">
        <is>
          <t>—</t>
        </is>
      </c>
      <c r="E266" s="45" t="inlineStr">
        <is>
          <t>Interface</t>
        </is>
      </c>
      <c r="F266" s="12" t="inlineStr">
        <is>
          <t>I2C / SPI</t>
        </is>
      </c>
    </row>
    <row r="267" outlineLevel="1" ht="15" customHeight="1">
      <c r="A267" s="45" t="inlineStr">
        <is>
          <t>Supply</t>
        </is>
      </c>
      <c r="B267" s="12" t="inlineStr">
        <is>
          <t>1.7-3.6V</t>
        </is>
      </c>
      <c r="E267" s="45" t="inlineStr">
        <is>
          <t>Price</t>
        </is>
      </c>
      <c r="F267" s="12" t="inlineStr">
        <is>
          <t>$6  ($$)</t>
        </is>
      </c>
    </row>
    <row r="268" outlineLevel="1" ht="15" customHeight="1">
      <c r="A268" s="45" t="inlineStr">
        <is>
          <t>Difficulty</t>
        </is>
      </c>
      <c r="B268" s="12" t="inlineStr">
        <is>
          <t>1 — Plug and play — Qwiic/STEMMA cable or 3 wires, library example works first time</t>
        </is>
      </c>
    </row>
    <row r="269" outlineLevel="1" ht="23" customHeight="1">
      <c r="A269" s="45" t="inlineStr">
        <is>
          <t>HOW</t>
        </is>
      </c>
      <c r="B269" s="46" t="inlineStr">
        <is>
          <t>ST's MEMS barometer; the LPS28DFW variant is water-resistant with a gel-filled port so it can read absolute pressure underwater (≈ depth).</t>
        </is>
      </c>
    </row>
    <row r="270" outlineLevel="1" ht="19" customHeight="1">
      <c r="A270" s="45" t="inlineStr">
        <is>
          <t>COMMON</t>
        </is>
      </c>
      <c r="B270" s="46" t="inlineStr">
        <is>
          <t>Weather, wearables, and (LPS28) swim-depth tracking, water-tank level via submerged tube.</t>
        </is>
      </c>
    </row>
    <row r="271" outlineLevel="1" ht="21" customHeight="1">
      <c r="A271" s="45" t="inlineStr">
        <is>
          <t>INVENTION</t>
        </is>
      </c>
      <c r="B271" s="48" t="inlineStr">
        <is>
          <t>Freediving watch: LPS28DFW logs depth/time curves and vibrates ascent-rate warnings — a safety device for $20.</t>
        </is>
      </c>
    </row>
    <row r="272" outlineLevel="1" ht="16" customHeight="1">
      <c r="A272" s="45" t="inlineStr">
        <is>
          <t>PAIRS</t>
        </is>
      </c>
      <c r="B272" s="46" t="inlineStr">
        <is>
          <t>IMU for stroke counting, haptic driver for ascent alarm</t>
        </is>
      </c>
    </row>
    <row r="273" outlineLevel="1" ht="15" customHeight="1">
      <c r="A273" s="45" t="inlineStr">
        <is>
          <t>KEY</t>
        </is>
      </c>
      <c r="B273" s="46" t="inlineStr">
        <is>
          <t>±0.1hPa, LPS28DFW to 4060 hPa (≈30m water)</t>
        </is>
      </c>
    </row>
    <row r="274" outlineLevel="1" ht="16" customHeight="1">
      <c r="A274" s="45" t="inlineStr">
        <is>
          <t>buy</t>
        </is>
      </c>
      <c r="B274" s="49" t="inlineStr">
        <is>
          <t>AF · SF · DK · MO · PI   |   boards: Adafruit LPS22 (4633) / LPS28 (5964)   |   lib: Adafruit_LPS2X / LPS28   [High]</t>
        </is>
      </c>
    </row>
    <row r="276" ht="22" customHeight="1">
      <c r="A276" s="58" t="inlineStr">
        <is>
          <t>S020</t>
        </is>
      </c>
      <c r="B276" s="59" t="inlineStr">
        <is>
          <t>SDP810 differential pressure   ·   SDP810 / SDP31</t>
        </is>
      </c>
    </row>
    <row r="277" outlineLevel="1" ht="15" customHeight="1">
      <c r="A277" s="45" t="inlineStr">
        <is>
          <t>Category</t>
        </is>
      </c>
      <c r="B277" s="12" t="inlineStr">
        <is>
          <t>Pressure &amp; Altitude › Differential (flow)</t>
        </is>
      </c>
      <c r="E277" s="45" t="inlineStr">
        <is>
          <t>Measures</t>
        </is>
      </c>
      <c r="F277" s="12" t="inlineStr">
        <is>
          <t>Tiny pressure DIFFERENCES between two ports (±500Pa)</t>
        </is>
      </c>
    </row>
    <row r="278" outlineLevel="1" ht="15" customHeight="1">
      <c r="A278" s="45" t="inlineStr">
        <is>
          <t>Modality</t>
        </is>
      </c>
      <c r="B278" s="12" t="inlineStr">
        <is>
          <t>Mechanical</t>
        </is>
      </c>
      <c r="E278" s="45" t="inlineStr">
        <is>
          <t>Interface</t>
        </is>
      </c>
      <c r="F278" s="12" t="inlineStr">
        <is>
          <t>I2C</t>
        </is>
      </c>
    </row>
    <row r="279" outlineLevel="1" ht="15" customHeight="1">
      <c r="A279" s="45" t="inlineStr">
        <is>
          <t>Supply</t>
        </is>
      </c>
      <c r="B279" s="12" t="inlineStr">
        <is>
          <t>3.0-5.5V</t>
        </is>
      </c>
      <c r="E279" s="45" t="inlineStr">
        <is>
          <t>Price</t>
        </is>
      </c>
      <c r="F279" s="12" t="inlineStr">
        <is>
          <t>$35  ($$$)</t>
        </is>
      </c>
    </row>
    <row r="280" outlineLevel="1" ht="15" customHeight="1">
      <c r="A280" s="45" t="inlineStr">
        <is>
          <t>Difficulty</t>
        </is>
      </c>
      <c r="B280" s="12" t="inlineStr">
        <is>
          <t>2 — Easy — breadboard wiring, a well-documented library, no analog thought needed</t>
        </is>
      </c>
    </row>
    <row r="281" outlineLevel="1" ht="25" customHeight="1">
      <c r="A281" s="45" t="inlineStr">
        <is>
          <t>HOW</t>
        </is>
      </c>
      <c r="B281" s="46" t="inlineStr">
        <is>
          <t>Measures heat carried across a micro-channel between two ports — incredibly sensitive to the faint pressure difference that airflow creates, with zero drift.</t>
        </is>
      </c>
    </row>
    <row r="282" outlineLevel="1" ht="44" customHeight="1">
      <c r="A282" s="45" t="inlineStr">
        <is>
          <t>WHAT</t>
        </is>
      </c>
      <c r="B282" s="47" t="inlineStr">
        <is>
          <t>Its thermal measuring principle means the reading depends on the GAS, not just the pressure — humid air, and especially any other gas, changes the calibration. Mounting orientation matters at these tiny pressures because the internal flow channel is gravity-sensitive. Tube length and diameter form a low-pass filter, so long thin tubes hide exactly the transients you may be looking for.</t>
        </is>
      </c>
    </row>
    <row r="283" outlineLevel="1" ht="21" customHeight="1">
      <c r="A283" s="45" t="inlineStr">
        <is>
          <t>COMMON</t>
        </is>
      </c>
      <c r="B283" s="46" t="inlineStr">
        <is>
          <t>Filter clogging detection (HVAC), cleanroom/room pressure cascades, ventilator/CPAP flow, fume hood verification.</t>
        </is>
      </c>
    </row>
    <row r="284" outlineLevel="1" ht="21" customHeight="1">
      <c r="A284" s="45" t="inlineStr">
        <is>
          <t>INVENTION</t>
        </is>
      </c>
      <c r="B284" s="48" t="inlineStr">
        <is>
          <t>Clip across any home HVAC filter to text you when it's actually dirty (pressure drop), not when a 90-day timer guesses.</t>
        </is>
      </c>
    </row>
    <row r="285" outlineLevel="1" ht="17" customHeight="1">
      <c r="A285" s="45" t="inlineStr">
        <is>
          <t>REQUIRES</t>
        </is>
      </c>
      <c r="B285" s="46" t="inlineStr">
        <is>
          <t>Silicone tubing to both ports; a defined orifice if you want true flow</t>
        </is>
      </c>
    </row>
    <row r="286" outlineLevel="1" ht="17" customHeight="1">
      <c r="A286" s="45" t="inlineStr">
        <is>
          <t>SUBSTITUT</t>
        </is>
      </c>
      <c r="B286" s="46" t="inlineStr">
        <is>
          <t>Much cheaper, less stable: XGZP6897D. True air velocity: FS3000.</t>
        </is>
      </c>
    </row>
    <row r="287" outlineLevel="1" ht="17" customHeight="1">
      <c r="A287" s="45" t="inlineStr">
        <is>
          <t>PAIRS</t>
        </is>
      </c>
      <c r="B287" s="46" t="inlineStr">
        <is>
          <t>Fan tach (PCNT) for fan curves, SHT41 for mass-flow correction</t>
        </is>
      </c>
    </row>
    <row r="288" outlineLevel="1" ht="16" customHeight="1">
      <c r="A288" s="45" t="inlineStr">
        <is>
          <t>KEY</t>
        </is>
      </c>
      <c r="B288" s="46" t="inlineStr">
        <is>
          <t>0.01Pa class resolution, no zero-point calibration</t>
        </is>
      </c>
    </row>
    <row r="289" outlineLevel="1" ht="25" customHeight="1">
      <c r="A289" s="45" t="inlineStr">
        <is>
          <t>specs</t>
        </is>
      </c>
      <c r="B289" s="49" t="inlineStr">
        <is>
          <t>Range: ±500 Pa   Accuracy: ±3% of reading   Resolution: 0.01 Pa class   I2C addr: 0x25 (0x26 variant)   Calibration: None   Environment: Indoor, Harsh   Lifecycle: Active   Maturity: Good   ESP32: Any variant</t>
        </is>
      </c>
    </row>
    <row r="290" outlineLevel="1" ht="16" customHeight="1">
      <c r="A290" s="45" t="inlineStr">
        <is>
          <t>buy</t>
        </is>
      </c>
      <c r="B290" s="49" t="inlineStr">
        <is>
          <t>DK · MO · SS   |   boards: Sensirion eval boards, Seeed Grove SDP810   |   lib: Sensirion sdp Arduino lib   [High, 2026-07]</t>
        </is>
      </c>
    </row>
    <row r="291" outlineLevel="1" ht="36" customHeight="1">
      <c r="A291" s="50" t="inlineStr">
        <is>
          <t>unlocks</t>
        </is>
      </c>
      <c r="B291" s="51" t="inlineStr">
        <is>
          <t>Is the filter blocked?  •  Is ventilation actually working?  •  Is compressed air leaking, and where?  •  Is it idle, loaded, or jammed?</t>
        </is>
      </c>
    </row>
    <row r="293" ht="22" customHeight="1">
      <c r="A293" s="54" t="inlineStr">
        <is>
          <t>S021</t>
        </is>
      </c>
      <c r="B293" s="55" t="inlineStr">
        <is>
          <t>MPRLS ported pressure   ·   MPRLS0025PA00001A</t>
        </is>
      </c>
    </row>
    <row r="294" outlineLevel="1" ht="15" customHeight="1">
      <c r="A294" s="45" t="inlineStr">
        <is>
          <t>Category</t>
        </is>
      </c>
      <c r="B294" s="12" t="inlineStr">
        <is>
          <t>Pressure &amp; Altitude › Ported/fluid</t>
        </is>
      </c>
      <c r="E294" s="45" t="inlineStr">
        <is>
          <t>Measures</t>
        </is>
      </c>
      <c r="F294" s="12" t="inlineStr">
        <is>
          <t>0-25 PSI ABSOLUTE pressure via a physical port you can tube</t>
        </is>
      </c>
    </row>
    <row r="295" outlineLevel="1" ht="15" customHeight="1">
      <c r="A295" s="45" t="inlineStr">
        <is>
          <t>Modality</t>
        </is>
      </c>
      <c r="B295" s="12" t="inlineStr">
        <is>
          <t>—</t>
        </is>
      </c>
      <c r="E295" s="45" t="inlineStr">
        <is>
          <t>Interface</t>
        </is>
      </c>
      <c r="F295" s="12" t="inlineStr">
        <is>
          <t>I2C</t>
        </is>
      </c>
    </row>
    <row r="296" outlineLevel="1" ht="15" customHeight="1">
      <c r="A296" s="45" t="inlineStr">
        <is>
          <t>Supply</t>
        </is>
      </c>
      <c r="B296" s="12" t="inlineStr">
        <is>
          <t>3.3/5V (Adafruit brd)</t>
        </is>
      </c>
      <c r="E296" s="45" t="inlineStr">
        <is>
          <t>Price</t>
        </is>
      </c>
      <c r="F296" s="12" t="inlineStr">
        <is>
          <t>$15  ($$$)</t>
        </is>
      </c>
    </row>
    <row r="297" outlineLevel="1" ht="15" customHeight="1">
      <c r="A297" s="45" t="inlineStr">
        <is>
          <t>Difficulty</t>
        </is>
      </c>
      <c r="B297" s="12" t="inlineStr">
        <is>
          <t>1 — Plug and play — Qwiic/STEMMA cable or 3 wires, library example works first time</t>
        </is>
      </c>
    </row>
    <row r="298" outlineLevel="1" ht="39" customHeight="1">
      <c r="A298" s="45" t="inlineStr">
        <is>
          <t>HOW</t>
        </is>
      </c>
      <c r="B298" s="46" t="inlineStr">
        <is>
          <t>A silicone-gel-protected MEMS die behind a barbed port — you push a tube on it, so it can measure squeeze bulbs, water columns, vacuum chambers and lungs. It reads ABSOLUTE pressure (~14.7 PSI sitting on the bench), so for every gauge measurement you must subtract atmospheric — either by maths or with a second sensor open to air.</t>
        </is>
      </c>
    </row>
    <row r="299" outlineLevel="1" ht="20" customHeight="1">
      <c r="A299" s="45" t="inlineStr">
        <is>
          <t>COMMON</t>
        </is>
      </c>
      <c r="B299" s="46" t="inlineStr">
        <is>
          <t>Water tank depth (tube to bottom), blood-pressure-cuff experiments, vacuum pickup tools, soil tensiometers.</t>
        </is>
      </c>
    </row>
    <row r="300" outlineLevel="1" ht="24" customHeight="1">
      <c r="A300" s="45" t="inlineStr">
        <is>
          <t>INVENTION</t>
        </is>
      </c>
      <c r="B300" s="48" t="inlineStr">
        <is>
          <t>A 'plant thirst meter' done properly: a water-filled tensiometer tube + MPRLS reads actual soil suction, the metric farmers use, not resistance guesswork.</t>
        </is>
      </c>
    </row>
    <row r="301" outlineLevel="1" ht="17" customHeight="1">
      <c r="A301" s="45" t="inlineStr">
        <is>
          <t>PAIRS</t>
        </is>
      </c>
      <c r="B301" s="46" t="inlineStr">
        <is>
          <t>Peristaltic pump for closed-loop irrigation, deep sleep nodes</t>
        </is>
      </c>
    </row>
    <row r="302" outlineLevel="1" ht="15" customHeight="1">
      <c r="A302" s="45" t="inlineStr">
        <is>
          <t>KEY</t>
        </is>
      </c>
      <c r="B302" s="46" t="inlineStr">
        <is>
          <t>±0.4% FS, 24-bit</t>
        </is>
      </c>
    </row>
    <row r="303" outlineLevel="1" ht="16" customHeight="1">
      <c r="A303" s="45" t="inlineStr">
        <is>
          <t>buy</t>
        </is>
      </c>
      <c r="B303" s="49" t="inlineStr">
        <is>
          <t>AF · DK · MO   |   boards: Adafruit 3965   |   lib: Adafruit_MPRLS   [High]</t>
        </is>
      </c>
    </row>
    <row r="305" ht="22" customHeight="1">
      <c r="A305" s="54" t="inlineStr">
        <is>
          <t>S022</t>
        </is>
      </c>
      <c r="B305" s="55" t="inlineStr">
        <is>
          <t>XGZP6897D low-range diff pressure   ·   XGZP6897D</t>
        </is>
      </c>
    </row>
    <row r="306" outlineLevel="1" ht="15" customHeight="1">
      <c r="A306" s="45" t="inlineStr">
        <is>
          <t>Category</t>
        </is>
      </c>
      <c r="B306" s="12" t="inlineStr">
        <is>
          <t>Pressure &amp; Altitude › Differential (flow)</t>
        </is>
      </c>
      <c r="E306" s="45" t="inlineStr">
        <is>
          <t>Measures</t>
        </is>
      </c>
      <c r="F306" s="12" t="inlineStr">
        <is>
          <t>±500Pa-class differential pressure, budget tier</t>
        </is>
      </c>
    </row>
    <row r="307" outlineLevel="1" ht="15" customHeight="1">
      <c r="A307" s="45" t="inlineStr">
        <is>
          <t>Modality</t>
        </is>
      </c>
      <c r="B307" s="12" t="inlineStr">
        <is>
          <t>—</t>
        </is>
      </c>
      <c r="E307" s="45" t="inlineStr">
        <is>
          <t>Interface</t>
        </is>
      </c>
      <c r="F307" s="12" t="inlineStr">
        <is>
          <t>I2C</t>
        </is>
      </c>
    </row>
    <row r="308" outlineLevel="1" ht="15" customHeight="1">
      <c r="A308" s="45" t="inlineStr">
        <is>
          <t>Supply</t>
        </is>
      </c>
      <c r="B308" s="12" t="inlineStr">
        <is>
          <t>3.3-5V</t>
        </is>
      </c>
      <c r="E308" s="45" t="inlineStr">
        <is>
          <t>Price</t>
        </is>
      </c>
      <c r="F308" s="12" t="inlineStr">
        <is>
          <t>$6  ($$)</t>
        </is>
      </c>
    </row>
    <row r="309" outlineLevel="1" ht="15" customHeight="1">
      <c r="A309" s="45" t="inlineStr">
        <is>
          <t>Difficulty</t>
        </is>
      </c>
      <c r="B309" s="12" t="inlineStr">
        <is>
          <t>2 — Easy — breadboard wiring, a well-documented library, no analog thought needed</t>
        </is>
      </c>
    </row>
    <row r="310" outlineLevel="1" ht="24" customHeight="1">
      <c r="A310" s="45" t="inlineStr">
        <is>
          <t>HOW</t>
        </is>
      </c>
      <c r="B310" s="46" t="inlineStr">
        <is>
          <t>Chinese MEMS differential sensor with amplified I2C output — the budget way into airflow and room-pressure sensing at a tenth of Sensirion money.</t>
        </is>
      </c>
    </row>
    <row r="311" outlineLevel="1" ht="19" customHeight="1">
      <c r="A311" s="45" t="inlineStr">
        <is>
          <t>COMMON</t>
        </is>
      </c>
      <c r="B311" s="46" t="inlineStr">
        <is>
          <t>DIY airflow meters, range hood interlocks, filter monitors where SDP810 is overkill.</t>
        </is>
      </c>
    </row>
    <row r="312" outlineLevel="1" ht="23" customHeight="1">
      <c r="A312" s="45" t="inlineStr">
        <is>
          <t>INVENTION</t>
        </is>
      </c>
      <c r="B312" s="48" t="inlineStr">
        <is>
          <t>Whole-house 'door open somewhere' detector: a sensitive diff-pressure node notices envelope pressure shifts when any exterior door opens.</t>
        </is>
      </c>
    </row>
    <row r="313" outlineLevel="1" ht="16" customHeight="1">
      <c r="A313" s="45" t="inlineStr">
        <is>
          <t>PAIRS</t>
        </is>
      </c>
      <c r="B313" s="46" t="inlineStr">
        <is>
          <t>mmWave presence to correlate pressure events with people</t>
        </is>
      </c>
    </row>
    <row r="314" outlineLevel="1" ht="15" customHeight="1">
      <c r="A314" s="45" t="inlineStr">
        <is>
          <t>KEY</t>
        </is>
      </c>
      <c r="B314" s="46" t="inlineStr">
        <is>
          <t>Various ranges (±100Pa to ±40kPa), ~1% FS</t>
        </is>
      </c>
    </row>
    <row r="315" outlineLevel="1" ht="16" customHeight="1">
      <c r="A315" s="45" t="inlineStr">
        <is>
          <t>buy</t>
        </is>
      </c>
      <c r="B315" s="49" t="inlineStr">
        <is>
          <t>AE   |   boards: CFSensor modules   |   lib: Generic I2C reads (datasheet)   [High]</t>
        </is>
      </c>
    </row>
    <row r="317" ht="22" customHeight="1">
      <c r="A317" s="56" t="inlineStr">
        <is>
          <t>S023</t>
        </is>
      </c>
      <c r="B317" s="57" t="inlineStr">
        <is>
          <t>BME688 gas + climate AI   ·   BME688 / BME680</t>
        </is>
      </c>
    </row>
    <row r="318" outlineLevel="1" ht="15" customHeight="1">
      <c r="A318" s="45" t="inlineStr">
        <is>
          <t>Category</t>
        </is>
      </c>
      <c r="B318" s="12" t="inlineStr">
        <is>
          <t>Gas &amp; VOC › MEMS multi-gas</t>
        </is>
      </c>
      <c r="E318" s="45" t="inlineStr">
        <is>
          <t>Measures</t>
        </is>
      </c>
      <c r="F318" s="12" t="inlineStr">
        <is>
          <t>VOC/gas resistance + temp + RH + pressure (4-in-1)</t>
        </is>
      </c>
    </row>
    <row r="319" outlineLevel="1" ht="15" customHeight="1">
      <c r="A319" s="45" t="inlineStr">
        <is>
          <t>Modality</t>
        </is>
      </c>
      <c r="B319" s="12" t="inlineStr">
        <is>
          <t>Chemical</t>
        </is>
      </c>
      <c r="E319" s="45" t="inlineStr">
        <is>
          <t>Interface</t>
        </is>
      </c>
      <c r="F319" s="12" t="inlineStr">
        <is>
          <t>I2C / SPI</t>
        </is>
      </c>
    </row>
    <row r="320" outlineLevel="1" ht="15" customHeight="1">
      <c r="A320" s="45" t="inlineStr">
        <is>
          <t>Supply</t>
        </is>
      </c>
      <c r="B320" s="12" t="inlineStr">
        <is>
          <t>1.7-3.6V</t>
        </is>
      </c>
      <c r="E320" s="45" t="inlineStr">
        <is>
          <t>Price</t>
        </is>
      </c>
      <c r="F320" s="12" t="inlineStr">
        <is>
          <t>$15  ($$$)</t>
        </is>
      </c>
    </row>
    <row r="321" outlineLevel="1" ht="15" customHeight="1">
      <c r="A321" s="45" t="inlineStr">
        <is>
          <t>Difficulty</t>
        </is>
      </c>
      <c r="B321" s="12" t="inlineStr">
        <is>
          <t>2 — Easy — breadboard wiring, a well-documented library, no analog thought needed</t>
        </is>
      </c>
    </row>
    <row r="322" outlineLevel="1" ht="25" customHeight="1">
      <c r="A322" s="45" t="inlineStr">
        <is>
          <t>HOW</t>
        </is>
      </c>
      <c r="B322" s="46" t="inlineStr">
        <is>
          <t>A micro hotplate heats a metal-oxide film whose resistance changes when gas molecules react on it; BME688 adds heater 'scan profiles' so AI can learn gas signatures.</t>
        </is>
      </c>
    </row>
    <row r="323" outlineLevel="1" ht="51" customHeight="1">
      <c r="A323" s="45" t="inlineStr">
        <is>
          <t>WHAT</t>
        </is>
      </c>
      <c r="B323" s="47" t="inlineStr">
        <is>
          <t>It does not measure any specific gas. The output is a resistance that moves with total reducing-gas load AND with humidity AND with temperature, so an unconditioned reading tracks the weather as much as the air. The BSEC library that makes it useful is a closed-source binary blob with licence constraints. Its own heater warms the adjacent temperature and humidity dies, so those readings run high unless compensated. Silicone vapours poison the sensing layer permanently.</t>
        </is>
      </c>
    </row>
    <row r="324" outlineLevel="1" ht="22" customHeight="1">
      <c r="A324" s="45" t="inlineStr">
        <is>
          <t>COMMON</t>
        </is>
      </c>
      <c r="B324" s="46" t="inlineStr">
        <is>
          <t>Indoor air quality scores, breath/odor detection experiments, smart vent triggers, 'something is burning' early warning.</t>
        </is>
      </c>
    </row>
    <row r="325" outlineLevel="1" ht="22" customHeight="1">
      <c r="A325" s="45" t="inlineStr">
        <is>
          <t>INVENTION</t>
        </is>
      </c>
      <c r="B325" s="48" t="inlineStr">
        <is>
          <t>Train BME688 to recognise your coffee, your dog, and burnt toast as distinct 'smellprints' — an electronic nose for under $20.</t>
        </is>
      </c>
    </row>
    <row r="326" outlineLevel="1" ht="18" customHeight="1">
      <c r="A326" s="45" t="inlineStr">
        <is>
          <t>SUBSTITUT</t>
        </is>
      </c>
      <c r="B326" s="46" t="inlineStr">
        <is>
          <t>Simpler index, self-calibrating: SGP40. Real CO2 instead of a proxy: SCD41.</t>
        </is>
      </c>
    </row>
    <row r="327" outlineLevel="1" ht="16" customHeight="1">
      <c r="A327" s="45" t="inlineStr">
        <is>
          <t>PAIRS</t>
        </is>
      </c>
      <c r="B327" s="46" t="inlineStr">
        <is>
          <t>SCD41 (real CO2) + PMSA003I for a complete air station</t>
        </is>
      </c>
    </row>
    <row r="328" outlineLevel="1" ht="17" customHeight="1">
      <c r="A328" s="45" t="inlineStr">
        <is>
          <t>KEY</t>
        </is>
      </c>
      <c r="B328" s="46" t="inlineStr">
        <is>
          <t>IAQ index via BSEC lib; BME688 supports BSEC2 gas classification</t>
        </is>
      </c>
    </row>
    <row r="329" outlineLevel="1" ht="34" customHeight="1">
      <c r="A329" s="45" t="inlineStr">
        <is>
          <t>specs</t>
        </is>
      </c>
      <c r="B329" s="49" t="inlineStr">
        <is>
          <t>Range: VOC/gas resistance; IAQ 0-500 via BSEC   Accuracy: Relative, not absolute ppm   Warm-up: Minutes for a usable reading; days for a stable BSEC baseline   I2C addr: 0x76 or 0x77   Calibration: Periodic   Environment: Indoor   Lifecycle: Active   Maturity: Good   ESP32: BSEC needs meaningful flash and RAM; comfortable on S3, tight on C3</t>
        </is>
      </c>
    </row>
    <row r="330" outlineLevel="1" ht="22" customHeight="1">
      <c r="A330" s="52" t="inlineStr">
        <is>
          <t>⚠</t>
        </is>
      </c>
      <c r="B330" s="53" t="inlineStr">
        <is>
          <t>HAZARD: HotSurface — Runs hot enough to burn or ignite (heated gas sensors, heaters)</t>
        </is>
      </c>
    </row>
    <row r="331" outlineLevel="1" ht="16" customHeight="1">
      <c r="A331" s="45" t="inlineStr">
        <is>
          <t>buy</t>
        </is>
      </c>
      <c r="B331" s="49" t="inlineStr">
        <is>
          <t>AF · SF · DK · MO · PI   |   boards: Adafruit 5046, Pimoroni BME688   |   lib: Bosch BSEC/BSEC2 (closed-source blob), Adafruit_BME680   [High, 2026-07]</t>
        </is>
      </c>
    </row>
    <row r="332" outlineLevel="1" ht="42" customHeight="1">
      <c r="A332" s="50" t="inlineStr">
        <is>
          <t>unlocks</t>
        </is>
      </c>
      <c r="B332" s="51" t="inlineStr">
        <is>
          <t>Did something start off-gassing or smelling?  •  What does this smell like — which known smell is it?  •  Is someone cooking?  •  Is this room stuffy — does it need fresh air?  •  Is this food still good?</t>
        </is>
      </c>
    </row>
    <row r="334" ht="22" customHeight="1">
      <c r="A334" s="54" t="inlineStr">
        <is>
          <t>S024</t>
        </is>
      </c>
      <c r="B334" s="55" t="inlineStr">
        <is>
          <t>SGP40 VOC index   ·   SGP40 / SGP41</t>
        </is>
      </c>
    </row>
    <row r="335" outlineLevel="1" ht="15" customHeight="1">
      <c r="A335" s="45" t="inlineStr">
        <is>
          <t>Category</t>
        </is>
      </c>
      <c r="B335" s="12" t="inlineStr">
        <is>
          <t>Gas &amp; VOC › MEMS VOC</t>
        </is>
      </c>
      <c r="E335" s="45" t="inlineStr">
        <is>
          <t>Measures</t>
        </is>
      </c>
      <c r="F335" s="12" t="inlineStr">
        <is>
          <t>VOC index 0-500 (SGP41 adds NOx index)</t>
        </is>
      </c>
    </row>
    <row r="336" outlineLevel="1" ht="15" customHeight="1">
      <c r="A336" s="45" t="inlineStr">
        <is>
          <t>Modality</t>
        </is>
      </c>
      <c r="B336" s="12" t="inlineStr">
        <is>
          <t>—</t>
        </is>
      </c>
      <c r="E336" s="45" t="inlineStr">
        <is>
          <t>Interface</t>
        </is>
      </c>
      <c r="F336" s="12" t="inlineStr">
        <is>
          <t>I2C</t>
        </is>
      </c>
    </row>
    <row r="337" outlineLevel="1" ht="15" customHeight="1">
      <c r="A337" s="45" t="inlineStr">
        <is>
          <t>Supply</t>
        </is>
      </c>
      <c r="B337" s="12" t="inlineStr">
        <is>
          <t>1.7-3.6V</t>
        </is>
      </c>
      <c r="E337" s="45" t="inlineStr">
        <is>
          <t>Price</t>
        </is>
      </c>
      <c r="F337" s="12" t="inlineStr">
        <is>
          <t>$12  ($$)</t>
        </is>
      </c>
    </row>
    <row r="338" outlineLevel="1" ht="15" customHeight="1">
      <c r="A338" s="45" t="inlineStr">
        <is>
          <t>Difficulty</t>
        </is>
      </c>
      <c r="B338" s="12" t="inlineStr">
        <is>
          <t>1 — Plug and play — Qwiic/STEMMA cable or 3 wires, library example works first time</t>
        </is>
      </c>
    </row>
    <row r="339" outlineLevel="1" ht="26" customHeight="1">
      <c r="A339" s="45" t="inlineStr">
        <is>
          <t>HOW</t>
        </is>
      </c>
      <c r="B339" s="46" t="inlineStr">
        <is>
          <t>Metal-oxide sensing like BME688 but Sensirion's algorithm self-calibrates against the room's baseline, outputting a stable 'how bad vs usual' index instead of raw resistance.</t>
        </is>
      </c>
    </row>
    <row r="340" outlineLevel="1" ht="18" customHeight="1">
      <c r="A340" s="45" t="inlineStr">
        <is>
          <t>COMMON</t>
        </is>
      </c>
      <c r="B340" s="46" t="inlineStr">
        <is>
          <t>Auto kitchen/bathroom fans, air purifier speed control, 'open a window' nudges.</t>
        </is>
      </c>
    </row>
    <row r="341" outlineLevel="1" ht="21" customHeight="1">
      <c r="A341" s="45" t="inlineStr">
        <is>
          <t>INVENTION</t>
        </is>
      </c>
      <c r="B341" s="48" t="inlineStr">
        <is>
          <t>A nursery 'diaper event detector' that turns on the extractor and pings a parent — VOC index spikes are unambiguous.</t>
        </is>
      </c>
    </row>
    <row r="342" outlineLevel="1" ht="16" customHeight="1">
      <c r="A342" s="45" t="inlineStr">
        <is>
          <t>PAIRS</t>
        </is>
      </c>
      <c r="B342" s="46" t="inlineStr">
        <is>
          <t>SHT41 (required humidity compensation), relay/fan PWM</t>
        </is>
      </c>
    </row>
    <row r="343" outlineLevel="1" ht="17" customHeight="1">
      <c r="A343" s="45" t="inlineStr">
        <is>
          <t>KEY</t>
        </is>
      </c>
      <c r="B343" s="46" t="inlineStr">
        <is>
          <t>VOC index, 10yr drift-compensated, needs RH/T input for accuracy</t>
        </is>
      </c>
    </row>
    <row r="344" outlineLevel="1" ht="16" customHeight="1">
      <c r="A344" s="45" t="inlineStr">
        <is>
          <t>buy</t>
        </is>
      </c>
      <c r="B344" s="49" t="inlineStr">
        <is>
          <t>AF · SF · DK · MO   |   boards: Adafruit 4829, SparkFun Qwiic SGP40   |   lib: Adafruit_SGP40 + Sensirion VOC algorithm   [High]</t>
        </is>
      </c>
    </row>
    <row r="346" ht="22" customHeight="1">
      <c r="A346" s="54" t="inlineStr">
        <is>
          <t>S025</t>
        </is>
      </c>
      <c r="B346" s="55" t="inlineStr">
        <is>
          <t>ENS160 air quality   ·   ENS160</t>
        </is>
      </c>
    </row>
    <row r="347" outlineLevel="1" ht="15" customHeight="1">
      <c r="A347" s="45" t="inlineStr">
        <is>
          <t>Category</t>
        </is>
      </c>
      <c r="B347" s="12" t="inlineStr">
        <is>
          <t>Gas &amp; VOC › MEMS VOC</t>
        </is>
      </c>
      <c r="E347" s="45" t="inlineStr">
        <is>
          <t>Measures</t>
        </is>
      </c>
      <c r="F347" s="12" t="inlineStr">
        <is>
          <t>eCO2, TVOC and AQI-UBA rating onboard</t>
        </is>
      </c>
    </row>
    <row r="348" outlineLevel="1" ht="15" customHeight="1">
      <c r="A348" s="45" t="inlineStr">
        <is>
          <t>Modality</t>
        </is>
      </c>
      <c r="B348" s="12" t="inlineStr">
        <is>
          <t>—</t>
        </is>
      </c>
      <c r="E348" s="45" t="inlineStr">
        <is>
          <t>Interface</t>
        </is>
      </c>
      <c r="F348" s="12" t="inlineStr">
        <is>
          <t>I2C / SPI</t>
        </is>
      </c>
    </row>
    <row r="349" outlineLevel="1" ht="15" customHeight="1">
      <c r="A349" s="45" t="inlineStr">
        <is>
          <t>Supply</t>
        </is>
      </c>
      <c r="B349" s="12" t="inlineStr">
        <is>
          <t>1.7-3.6V</t>
        </is>
      </c>
      <c r="E349" s="45" t="inlineStr">
        <is>
          <t>Price</t>
        </is>
      </c>
      <c r="F349" s="12" t="inlineStr">
        <is>
          <t>$9  ($$)</t>
        </is>
      </c>
    </row>
    <row r="350" outlineLevel="1" ht="15" customHeight="1">
      <c r="A350" s="45" t="inlineStr">
        <is>
          <t>Difficulty</t>
        </is>
      </c>
      <c r="B350" s="12" t="inlineStr">
        <is>
          <t>1 — Plug and play — Qwiic/STEMMA cable or 3 wires, library example works first time</t>
        </is>
      </c>
    </row>
    <row r="351" outlineLevel="1" ht="25" customHeight="1">
      <c r="A351" s="45" t="inlineStr">
        <is>
          <t>HOW</t>
        </is>
      </c>
      <c r="B351" s="46" t="inlineStr">
        <is>
          <t>A four-hotplate metal-oxide array plus an on-chip algorithm that outputs ready-made air-quality numbers — no host-side blob library needed, unlike Bosch BSEC.</t>
        </is>
      </c>
    </row>
    <row r="352" outlineLevel="1" ht="18" customHeight="1">
      <c r="A352" s="45" t="inlineStr">
        <is>
          <t>COMMON</t>
        </is>
      </c>
      <c r="B352" s="46" t="inlineStr">
        <is>
          <t>Air quality displays, ventilation controllers, cheap multi-room AQ fleets.</t>
        </is>
      </c>
    </row>
    <row r="353" outlineLevel="1" ht="23" customHeight="1">
      <c r="A353" s="45" t="inlineStr">
        <is>
          <t>INVENTION</t>
        </is>
      </c>
      <c r="B353" s="48" t="inlineStr">
        <is>
          <t>Per-room AQ fleet (5 nodes × $9) feeding one dashboard that maps which activities (cooking, cleaning, sleeping) pollute which rooms.</t>
        </is>
      </c>
    </row>
    <row r="354" outlineLevel="1" ht="16" customHeight="1">
      <c r="A354" s="45" t="inlineStr">
        <is>
          <t>PAIRS</t>
        </is>
      </c>
      <c r="B354" s="46" t="inlineStr">
        <is>
          <t>AHT21 combo for compensation, ePaper wall display</t>
        </is>
      </c>
    </row>
    <row r="355" outlineLevel="1" ht="16" customHeight="1">
      <c r="A355" s="45" t="inlineStr">
        <is>
          <t>KEY</t>
        </is>
      </c>
      <c r="B355" s="46" t="inlineStr">
        <is>
          <t>AQI-UBA 1-5, TVOC ppb, eCO2 (estimate only, not real CO2)</t>
        </is>
      </c>
    </row>
    <row r="356" outlineLevel="1" ht="16" customHeight="1">
      <c r="A356" s="45" t="inlineStr">
        <is>
          <t>buy</t>
        </is>
      </c>
      <c r="B356" s="49" t="inlineStr">
        <is>
          <t>AF · SF · DK · AE · DFR   |   boards: Adafruit 5606, ENS160+AHT21 combo boards on AliExpress   |   lib: ScioSense ENS160, Adafruit fork   [High]</t>
        </is>
      </c>
    </row>
    <row r="358" ht="22" customHeight="1">
      <c r="A358" s="56" t="inlineStr">
        <is>
          <t>S026</t>
        </is>
      </c>
      <c r="B358" s="57" t="inlineStr">
        <is>
          <t>MQ-2 smoke/LPG gas   ·   MQ-2</t>
        </is>
      </c>
    </row>
    <row r="359" outlineLevel="1" ht="15" customHeight="1">
      <c r="A359" s="45" t="inlineStr">
        <is>
          <t>Category</t>
        </is>
      </c>
      <c r="B359" s="12" t="inlineStr">
        <is>
          <t>Gas &amp; VOC › MQ analog (heated)</t>
        </is>
      </c>
      <c r="E359" s="45" t="inlineStr">
        <is>
          <t>Measures</t>
        </is>
      </c>
      <c r="F359" s="12" t="inlineStr">
        <is>
          <t>Smoke, LPG, propane, methane, alcohol (broad/crude)</t>
        </is>
      </c>
    </row>
    <row r="360" outlineLevel="1" ht="15" customHeight="1">
      <c r="A360" s="45" t="inlineStr">
        <is>
          <t>Modality</t>
        </is>
      </c>
      <c r="B360" s="12" t="inlineStr">
        <is>
          <t>Chemical</t>
        </is>
      </c>
      <c r="E360" s="45" t="inlineStr">
        <is>
          <t>Interface</t>
        </is>
      </c>
      <c r="F360" s="12" t="inlineStr">
        <is>
          <t>Analog / Digital</t>
        </is>
      </c>
    </row>
    <row r="361" outlineLevel="1" ht="15" customHeight="1">
      <c r="A361" s="45" t="inlineStr">
        <is>
          <t>Supply</t>
        </is>
      </c>
      <c r="B361" s="12" t="inlineStr">
        <is>
          <t>5V (heater)</t>
        </is>
      </c>
      <c r="E361" s="45" t="inlineStr">
        <is>
          <t>Price</t>
        </is>
      </c>
      <c r="F361" s="12" t="inlineStr">
        <is>
          <t>$2  ($)</t>
        </is>
      </c>
    </row>
    <row r="362" outlineLevel="1" ht="15" customHeight="1">
      <c r="A362" s="45" t="inlineStr">
        <is>
          <t>Difficulty</t>
        </is>
      </c>
      <c r="B362" s="12" t="inlineStr">
        <is>
          <t>2 — Easy — breadboard wiring, a well-documented library, no analog thought needed</t>
        </is>
      </c>
    </row>
    <row r="363" outlineLevel="1" ht="26" customHeight="1">
      <c r="A363" s="45" t="inlineStr">
        <is>
          <t>HOW</t>
        </is>
      </c>
      <c r="B363" s="46" t="inlineStr">
        <is>
          <t>A heated tin-dioxide bead's resistance drops in flammable gas; you read the analog voltage. Cheap, power-hungry, needs days of burn-in and is qualitative, not lab-grade.</t>
        </is>
      </c>
    </row>
    <row r="364" outlineLevel="1" ht="45" customHeight="1">
      <c r="A364" s="45" t="inlineStr">
        <is>
          <t>WHAT</t>
        </is>
      </c>
      <c r="B364" s="47" t="inlineStr">
        <is>
          <t>Broadly cross-sensitive — alcohol, solvents, cooking fumes and humidity all move it, so it cannot identify a gas, only that something reducing is present. Baseline drifts over weeks and jumps with humidity. The heater is an ignition source, so it must never go inside a volume where flammable gas can accumulate. Never a life-safety device: use a certified alarm and treat this as a logger beside it.</t>
        </is>
      </c>
    </row>
    <row r="365" outlineLevel="1" ht="19" customHeight="1">
      <c r="A365" s="45" t="inlineStr">
        <is>
          <t>COMMON</t>
        </is>
      </c>
      <c r="B365" s="46" t="inlineStr">
        <is>
          <t>Gas-leak alarms (hobby), smoke detection experiments, combustible-gas sniffer wands.</t>
        </is>
      </c>
    </row>
    <row r="366" outlineLevel="1" ht="21" customHeight="1">
      <c r="A366" s="45" t="inlineStr">
        <is>
          <t>INVENTION</t>
        </is>
      </c>
      <c r="B366" s="48" t="inlineStr">
        <is>
          <t>A stove-left-on sentinel: MQ-2 (gas) + MLX90614 (burner heat) + mmWave (nobody present) → cut gas via servo valve.</t>
        </is>
      </c>
    </row>
    <row r="367" outlineLevel="1" ht="17" customHeight="1">
      <c r="A367" s="45" t="inlineStr">
        <is>
          <t>REQUIRES</t>
        </is>
      </c>
      <c r="B367" s="46" t="inlineStr">
        <is>
          <t>5V heater supply; a divider or level shifter for the analog output</t>
        </is>
      </c>
    </row>
    <row r="368" outlineLevel="1" ht="19" customHeight="1">
      <c r="A368" s="45" t="inlineStr">
        <is>
          <t>SUBSTITUT</t>
        </is>
      </c>
      <c r="B368" s="46" t="inlineStr">
        <is>
          <t>Lower power, faster: MiCS-5524. Selective and quantitative: an electrochemical cell.</t>
        </is>
      </c>
    </row>
    <row r="369" outlineLevel="1" ht="15" customHeight="1">
      <c r="A369" s="45" t="inlineStr">
        <is>
          <t>PAIRS</t>
        </is>
      </c>
      <c r="B369" s="46" t="inlineStr">
        <is>
          <t>Servo gas valve, buzzer, Wi-Fi alert</t>
        </is>
      </c>
    </row>
    <row r="370" outlineLevel="1" ht="27" customHeight="1">
      <c r="A370" s="45" t="inlineStr">
        <is>
          <t>KEY</t>
        </is>
      </c>
      <c r="B370" s="46" t="inlineStr">
        <is>
          <t>200-10000ppm class detection, potentiometer threshold. ⚠ NOT a life-safety device — supplement, never replace, a certified alarm. Heated element: keep out of explosive atmospheres.</t>
        </is>
      </c>
    </row>
    <row r="371" outlineLevel="1" ht="30" customHeight="1">
      <c r="A371" s="45" t="inlineStr">
        <is>
          <t>specs</t>
        </is>
      </c>
      <c r="B371" s="49" t="inlineStr">
        <is>
          <t>Range: 200-10000 ppm class   Accuracy: Qualitative only   Warm-up: 24-48 hours of burn-in for a new sensor; minutes from cold each power-up   Calibration: Reference   Environment: Indoor   Lifecycle: Mature   Maturity: Workable   ESP32: Analog out must be divided to 3.3V; use ADC1</t>
        </is>
      </c>
    </row>
    <row r="372" outlineLevel="1" ht="22" customHeight="1">
      <c r="A372" s="52" t="inlineStr">
        <is>
          <t>⚠</t>
        </is>
      </c>
      <c r="B372" s="53" t="inlineStr">
        <is>
          <t>HAZARD: HotSurface — Runs hot enough to burn or ignite (heated gas sensors, heaters), Ignition — Is an ignition source; must NOT enter a flammable atmosphere, Toxic — Involves toxic gas or chemicals</t>
        </is>
      </c>
    </row>
    <row r="373" outlineLevel="1" ht="16" customHeight="1">
      <c r="A373" s="45" t="inlineStr">
        <is>
          <t>buy</t>
        </is>
      </c>
      <c r="B373" s="49" t="inlineStr">
        <is>
          <t>AE · AMZ · DFR · CE   |   boards: MQ-2 breakout with LM393 comparator   |   lib: analogRead; MQUnifiedsensor for ppm math   [High, 2026-07]</t>
        </is>
      </c>
    </row>
    <row r="374" outlineLevel="1" ht="24" customHeight="1">
      <c r="A374" s="50" t="inlineStr">
        <is>
          <t>unlocks</t>
        </is>
      </c>
      <c r="B374" s="51" t="inlineStr">
        <is>
          <t>Is there a flammable gas leak?  •  Is there smoke?</t>
        </is>
      </c>
    </row>
    <row r="376" ht="22" customHeight="1">
      <c r="A376" s="54" t="inlineStr">
        <is>
          <t>S027</t>
        </is>
      </c>
      <c r="B376" s="55" t="inlineStr">
        <is>
          <t>MQ-3 alcohol sensor   ·   MQ-3</t>
        </is>
      </c>
    </row>
    <row r="377" outlineLevel="1" ht="15" customHeight="1">
      <c r="A377" s="45" t="inlineStr">
        <is>
          <t>Category</t>
        </is>
      </c>
      <c r="B377" s="12" t="inlineStr">
        <is>
          <t>Gas &amp; VOC › MQ analog (heated)</t>
        </is>
      </c>
      <c r="E377" s="45" t="inlineStr">
        <is>
          <t>Measures</t>
        </is>
      </c>
      <c r="F377" s="12" t="inlineStr">
        <is>
          <t>Alcohol vapour 0.04-4 mg/L</t>
        </is>
      </c>
    </row>
    <row r="378" outlineLevel="1" ht="15" customHeight="1">
      <c r="A378" s="45" t="inlineStr">
        <is>
          <t>Modality</t>
        </is>
      </c>
      <c r="B378" s="12" t="inlineStr">
        <is>
          <t>—</t>
        </is>
      </c>
      <c r="E378" s="45" t="inlineStr">
        <is>
          <t>Interface</t>
        </is>
      </c>
      <c r="F378" s="12" t="inlineStr">
        <is>
          <t>Analog</t>
        </is>
      </c>
    </row>
    <row r="379" outlineLevel="1" ht="15" customHeight="1">
      <c r="A379" s="45" t="inlineStr">
        <is>
          <t>Supply</t>
        </is>
      </c>
      <c r="B379" s="12" t="inlineStr">
        <is>
          <t>5V (heater)</t>
        </is>
      </c>
      <c r="E379" s="45" t="inlineStr">
        <is>
          <t>Price</t>
        </is>
      </c>
      <c r="F379" s="12" t="inlineStr">
        <is>
          <t>$2.5  ($)</t>
        </is>
      </c>
    </row>
    <row r="380" outlineLevel="1" ht="15" customHeight="1">
      <c r="A380" s="45" t="inlineStr">
        <is>
          <t>Difficulty</t>
        </is>
      </c>
      <c r="B380" s="12" t="inlineStr">
        <is>
          <t>2 — Easy — breadboard wiring, a well-documented library, no analog thought needed</t>
        </is>
      </c>
    </row>
    <row r="381" outlineLevel="1" ht="20" customHeight="1">
      <c r="A381" s="45" t="inlineStr">
        <is>
          <t>HOW</t>
        </is>
      </c>
      <c r="B381" s="46" t="inlineStr">
        <is>
          <t>Same heated tin-oxide principle, doped to respond most to ethanol — the classic DIY breathalyzer element.</t>
        </is>
      </c>
    </row>
    <row r="382" outlineLevel="1" ht="19" customHeight="1">
      <c r="A382" s="45" t="inlineStr">
        <is>
          <t>COMMON</t>
        </is>
      </c>
      <c r="B382" s="46" t="inlineStr">
        <is>
          <t>Breathalyzer toys, fermentation headspace monitoring, hand-sanitiser usage counters.</t>
        </is>
      </c>
    </row>
    <row r="383" outlineLevel="1" ht="23" customHeight="1">
      <c r="A383" s="45" t="inlineStr">
        <is>
          <t>INVENTION</t>
        </is>
      </c>
      <c r="B383" s="48" t="inlineStr">
        <is>
          <t>A fermentation 'vigor meter': headspace alcohol + CO2 (SCD41) + bubble counts (photo-interrupter on airlock) charts your brew's whole life.</t>
        </is>
      </c>
    </row>
    <row r="384" outlineLevel="1" ht="15" customHeight="1">
      <c r="A384" s="45" t="inlineStr">
        <is>
          <t>PAIRS</t>
        </is>
      </c>
      <c r="B384" s="46" t="inlineStr">
        <is>
          <t>SCD41 + photo-interrupter for brew telemetry</t>
        </is>
      </c>
    </row>
    <row r="385" outlineLevel="1" ht="15" customHeight="1">
      <c r="A385" s="45" t="inlineStr">
        <is>
          <t>KEY</t>
        </is>
      </c>
      <c r="B385" s="46" t="inlineStr">
        <is>
          <t>Qualitative without careful calibration</t>
        </is>
      </c>
    </row>
    <row r="386" outlineLevel="1" ht="16" customHeight="1">
      <c r="A386" s="45" t="inlineStr">
        <is>
          <t>buy</t>
        </is>
      </c>
      <c r="B386" s="49" t="inlineStr">
        <is>
          <t>AE · AMZ · SF · DFR   |   boards: MQ-3 breakout   |   lib: MQUnifiedsensor   [High]</t>
        </is>
      </c>
    </row>
    <row r="388" ht="22" customHeight="1">
      <c r="A388" s="54" t="inlineStr">
        <is>
          <t>S028</t>
        </is>
      </c>
      <c r="B388" s="55" t="inlineStr">
        <is>
          <t>MQ-7 carbon monoxide   ·   MQ-7</t>
        </is>
      </c>
    </row>
    <row r="389" outlineLevel="1" ht="15" customHeight="1">
      <c r="A389" s="45" t="inlineStr">
        <is>
          <t>Category</t>
        </is>
      </c>
      <c r="B389" s="12" t="inlineStr">
        <is>
          <t>Gas &amp; VOC › MQ analog (heated)</t>
        </is>
      </c>
      <c r="E389" s="45" t="inlineStr">
        <is>
          <t>Measures</t>
        </is>
      </c>
      <c r="F389" s="12" t="inlineStr">
        <is>
          <t>CO 20-2000ppm (requires heater cycling)</t>
        </is>
      </c>
    </row>
    <row r="390" outlineLevel="1" ht="15" customHeight="1">
      <c r="A390" s="45" t="inlineStr">
        <is>
          <t>Modality</t>
        </is>
      </c>
      <c r="B390" s="12" t="inlineStr">
        <is>
          <t>—</t>
        </is>
      </c>
      <c r="E390" s="45" t="inlineStr">
        <is>
          <t>Interface</t>
        </is>
      </c>
      <c r="F390" s="12" t="inlineStr">
        <is>
          <t>PWM / Analog</t>
        </is>
      </c>
    </row>
    <row r="391" outlineLevel="1" ht="15" customHeight="1">
      <c r="A391" s="45" t="inlineStr">
        <is>
          <t>Supply</t>
        </is>
      </c>
      <c r="B391" s="12" t="inlineStr">
        <is>
          <t>5V cycled</t>
        </is>
      </c>
      <c r="E391" s="45" t="inlineStr">
        <is>
          <t>Price</t>
        </is>
      </c>
      <c r="F391" s="12" t="inlineStr">
        <is>
          <t>$2.5  ($)</t>
        </is>
      </c>
    </row>
    <row r="392" outlineLevel="1" ht="15" customHeight="1">
      <c r="A392" s="45" t="inlineStr">
        <is>
          <t>Difficulty</t>
        </is>
      </c>
      <c r="B392" s="12" t="inlineStr">
        <is>
          <t>3 — Some skill — calibration, level shifting, timing, or datasheet reading required</t>
        </is>
      </c>
    </row>
    <row r="393" outlineLevel="1" ht="24" customHeight="1">
      <c r="A393" s="45" t="inlineStr">
        <is>
          <t>HOW</t>
        </is>
      </c>
      <c r="B393" s="46" t="inlineStr">
        <is>
          <t>Tin-oxide tuned for CO but only reads correctly when you alternate the heater between 5V and 1.4V phases — most hobby wiring skips this and gets garbage.</t>
        </is>
      </c>
    </row>
    <row r="394" outlineLevel="1" ht="19" customHeight="1">
      <c r="A394" s="45" t="inlineStr">
        <is>
          <t>COMMON</t>
        </is>
      </c>
      <c r="B394" s="46" t="inlineStr">
        <is>
          <t>CO trend monitoring near garages/boilers (alongside, never instead of, a certified alarm).</t>
        </is>
      </c>
    </row>
    <row r="395" outlineLevel="1" ht="23" customHeight="1">
      <c r="A395" s="45" t="inlineStr">
        <is>
          <t>INVENTION</t>
        </is>
      </c>
      <c r="B395" s="48" t="inlineStr">
        <is>
          <t>Garage-to-house CO migration mapper: three MQ-7 nodes show how long after engine start CO reaches the door — great home-safety data story.</t>
        </is>
      </c>
    </row>
    <row r="396" outlineLevel="1" ht="15" customHeight="1">
      <c r="A396" s="45" t="inlineStr">
        <is>
          <t>PAIRS</t>
        </is>
      </c>
      <c r="B396" s="46" t="inlineStr">
        <is>
          <t>Certified alarm relay tap, Wi-Fi alerting</t>
        </is>
      </c>
    </row>
    <row r="397" outlineLevel="1" ht="16" customHeight="1">
      <c r="A397" s="45" t="inlineStr">
        <is>
          <t>KEY</t>
        </is>
      </c>
      <c r="B397" s="46" t="inlineStr">
        <is>
          <t>Needs 60/90s heat cycle; NOT a life-safety device</t>
        </is>
      </c>
    </row>
    <row r="398" outlineLevel="1" ht="16" customHeight="1">
      <c r="A398" s="45" t="inlineStr">
        <is>
          <t>buy</t>
        </is>
      </c>
      <c r="B398" s="49" t="inlineStr">
        <is>
          <t>AE · AMZ · DFR   |   boards: MQ-7 breakout (mod for heater control)   |   lib: MQUnifiedsensor + custom cycling   [High]</t>
        </is>
      </c>
    </row>
    <row r="400" ht="22" customHeight="1">
      <c r="A400" s="54" t="inlineStr">
        <is>
          <t>S029</t>
        </is>
      </c>
      <c r="B400" s="55" t="inlineStr">
        <is>
          <t>MQ-135 air quality   ·   MQ-135</t>
        </is>
      </c>
    </row>
    <row r="401" outlineLevel="1" ht="15" customHeight="1">
      <c r="A401" s="45" t="inlineStr">
        <is>
          <t>Category</t>
        </is>
      </c>
      <c r="B401" s="12" t="inlineStr">
        <is>
          <t>Gas &amp; VOC › MQ analog (heated)</t>
        </is>
      </c>
      <c r="E401" s="45" t="inlineStr">
        <is>
          <t>Measures</t>
        </is>
      </c>
      <c r="F401" s="12" t="inlineStr">
        <is>
          <t>NH3, NOx, benzene, smoke — broad 'bad air' response</t>
        </is>
      </c>
    </row>
    <row r="402" outlineLevel="1" ht="15" customHeight="1">
      <c r="A402" s="45" t="inlineStr">
        <is>
          <t>Modality</t>
        </is>
      </c>
      <c r="B402" s="12" t="inlineStr">
        <is>
          <t>—</t>
        </is>
      </c>
      <c r="E402" s="45" t="inlineStr">
        <is>
          <t>Interface</t>
        </is>
      </c>
      <c r="F402" s="12" t="inlineStr">
        <is>
          <t>Analog</t>
        </is>
      </c>
    </row>
    <row r="403" outlineLevel="1" ht="15" customHeight="1">
      <c r="A403" s="45" t="inlineStr">
        <is>
          <t>Supply</t>
        </is>
      </c>
      <c r="B403" s="12" t="inlineStr">
        <is>
          <t>5V</t>
        </is>
      </c>
      <c r="E403" s="45" t="inlineStr">
        <is>
          <t>Price</t>
        </is>
      </c>
      <c r="F403" s="12" t="inlineStr">
        <is>
          <t>$2.5  ($)</t>
        </is>
      </c>
    </row>
    <row r="404" outlineLevel="1" ht="15" customHeight="1">
      <c r="A404" s="45" t="inlineStr">
        <is>
          <t>Difficulty</t>
        </is>
      </c>
      <c r="B404" s="12" t="inlineStr">
        <is>
          <t>2 — Easy — breadboard wiring, a well-documented library, no analog thought needed</t>
        </is>
      </c>
    </row>
    <row r="405" outlineLevel="1" ht="24" customHeight="1">
      <c r="A405" s="45" t="inlineStr">
        <is>
          <t>HOW</t>
        </is>
      </c>
      <c r="B405" s="46" t="inlineStr">
        <is>
          <t>Broad-spectrum doped tin oxide; responds to many pollutants at once, so treat the output as a single 'air badness' signal rather than any specific gas.</t>
        </is>
      </c>
    </row>
    <row r="406" outlineLevel="1" ht="17" customHeight="1">
      <c r="A406" s="45" t="inlineStr">
        <is>
          <t>COMMON</t>
        </is>
      </c>
      <c r="B406" s="46" t="inlineStr">
        <is>
          <t>Cheap AQ trend nodes, chicken coop ammonia watch, classroom demos.</t>
        </is>
      </c>
    </row>
    <row r="407" outlineLevel="1" ht="22" customHeight="1">
      <c r="A407" s="45" t="inlineStr">
        <is>
          <t>INVENTION</t>
        </is>
      </c>
      <c r="B407" s="48" t="inlineStr">
        <is>
          <t>Coop ammonia + RH + temp = a poultry welfare score that texts you to change bedding — commercial versions cost hundreds.</t>
        </is>
      </c>
    </row>
    <row r="408" outlineLevel="1" ht="16" customHeight="1">
      <c r="A408" s="45" t="inlineStr">
        <is>
          <t>PAIRS</t>
        </is>
      </c>
      <c r="B408" s="46" t="inlineStr">
        <is>
          <t>SHT31 probe (coops are humid), solar+LoRa for barns</t>
        </is>
      </c>
    </row>
    <row r="409" outlineLevel="1" ht="23" customHeight="1">
      <c r="A409" s="45" t="inlineStr">
        <is>
          <t>KEY</t>
        </is>
      </c>
      <c r="B409" s="46" t="inlineStr">
        <is>
          <t>Qualitative; often mislabeled as a CO2 sensor (it is not). ⚠ NOT a life-safety device. Heated element: keep out of explosive atmospheres.</t>
        </is>
      </c>
    </row>
    <row r="410" outlineLevel="1" ht="16" customHeight="1">
      <c r="A410" s="45" t="inlineStr">
        <is>
          <t>buy</t>
        </is>
      </c>
      <c r="B410" s="49" t="inlineStr">
        <is>
          <t>AE · AMZ · DFR   |   boards: MQ-135 breakout   |   lib: MQUnifiedsensor   [High]</t>
        </is>
      </c>
    </row>
    <row r="412" ht="22" customHeight="1">
      <c r="A412" s="54" t="inlineStr">
        <is>
          <t>S030</t>
        </is>
      </c>
      <c r="B412" s="55" t="inlineStr">
        <is>
          <t>MiCS-5524 CO/VOC   ·   MiCS-5524</t>
        </is>
      </c>
    </row>
    <row r="413" outlineLevel="1" ht="15" customHeight="1">
      <c r="A413" s="45" t="inlineStr">
        <is>
          <t>Category</t>
        </is>
      </c>
      <c r="B413" s="12" t="inlineStr">
        <is>
          <t>Gas &amp; VOC › MEMS MOX</t>
        </is>
      </c>
      <c r="E413" s="45" t="inlineStr">
        <is>
          <t>Measures</t>
        </is>
      </c>
      <c r="F413" s="12" t="inlineStr">
        <is>
          <t>CO 1-1000ppm, ethanol, H2, ammonia, methane</t>
        </is>
      </c>
    </row>
    <row r="414" outlineLevel="1" ht="15" customHeight="1">
      <c r="A414" s="45" t="inlineStr">
        <is>
          <t>Modality</t>
        </is>
      </c>
      <c r="B414" s="12" t="inlineStr">
        <is>
          <t>—</t>
        </is>
      </c>
      <c r="E414" s="45" t="inlineStr">
        <is>
          <t>Interface</t>
        </is>
      </c>
      <c r="F414" s="12" t="inlineStr">
        <is>
          <t>Analog</t>
        </is>
      </c>
    </row>
    <row r="415" outlineLevel="1" ht="15" customHeight="1">
      <c r="A415" s="45" t="inlineStr">
        <is>
          <t>Supply</t>
        </is>
      </c>
      <c r="B415" s="12" t="inlineStr">
        <is>
          <t>3.3-5V</t>
        </is>
      </c>
      <c r="E415" s="45" t="inlineStr">
        <is>
          <t>Price</t>
        </is>
      </c>
      <c r="F415" s="12" t="inlineStr">
        <is>
          <t>$14  ($$)</t>
        </is>
      </c>
    </row>
    <row r="416" outlineLevel="1" ht="15" customHeight="1">
      <c r="A416" s="45" t="inlineStr">
        <is>
          <t>Difficulty</t>
        </is>
      </c>
      <c r="B416" s="12" t="inlineStr">
        <is>
          <t>2 — Easy — breadboard wiring, a well-documented library, no analog thought needed</t>
        </is>
      </c>
    </row>
    <row r="417" outlineLevel="1" ht="33" customHeight="1">
      <c r="A417" s="45" t="inlineStr">
        <is>
          <t>HOW</t>
        </is>
      </c>
      <c r="B417" s="46" t="inlineStr">
        <is>
          <t>A micro-machined hotplate version of the MQ concept — the heater burns milliwatts instead of nearly a watt, and it warms up in seconds rather than minutes. Still ~32mA while on, so it needs duty-cycling (not continuous operation) to be viable on a battery.</t>
        </is>
      </c>
    </row>
    <row r="418" outlineLevel="1" ht="16" customHeight="1">
      <c r="A418" s="45" t="inlineStr">
        <is>
          <t>COMMON</t>
        </is>
      </c>
      <c r="B418" s="46" t="inlineStr">
        <is>
          <t>Battery breath/CO experiments, wearable air badges.</t>
        </is>
      </c>
    </row>
    <row r="419" outlineLevel="1" ht="20" customHeight="1">
      <c r="A419" s="45" t="inlineStr">
        <is>
          <t>INVENTION</t>
        </is>
      </c>
      <c r="B419" s="48" t="inlineStr">
        <is>
          <t>A cyclist's pollution exposure badge: MiCS-5524 + PM sensor + GPS heat-maps your commute's dirtiest blocks.</t>
        </is>
      </c>
    </row>
    <row r="420" outlineLevel="1" ht="15" customHeight="1">
      <c r="A420" s="45" t="inlineStr">
        <is>
          <t>PAIRS</t>
        </is>
      </c>
      <c r="B420" s="46" t="inlineStr">
        <is>
          <t>GPS + SD for exposure mapping, small LiPo</t>
        </is>
      </c>
    </row>
    <row r="421" outlineLevel="1" ht="15" customHeight="1">
      <c r="A421" s="45" t="inlineStr">
        <is>
          <t>KEY</t>
        </is>
      </c>
      <c r="B421" s="46" t="inlineStr">
        <is>
          <t>Faster warm-up than MQ series</t>
        </is>
      </c>
    </row>
    <row r="422" outlineLevel="1" ht="16" customHeight="1">
      <c r="A422" s="45" t="inlineStr">
        <is>
          <t>buy</t>
        </is>
      </c>
      <c r="B422" s="49" t="inlineStr">
        <is>
          <t>AF · DK · MO   |   boards: Adafruit 3199   |   lib: analogRead   [High]</t>
        </is>
      </c>
    </row>
    <row r="424" ht="22" customHeight="1">
      <c r="A424" s="54" t="inlineStr">
        <is>
          <t>S031</t>
        </is>
      </c>
      <c r="B424" s="55" t="inlineStr">
        <is>
          <t>MiCS-6814 tri-gas   ·   MiCS-6814</t>
        </is>
      </c>
    </row>
    <row r="425" outlineLevel="1" ht="15" customHeight="1">
      <c r="A425" s="45" t="inlineStr">
        <is>
          <t>Category</t>
        </is>
      </c>
      <c r="B425" s="12" t="inlineStr">
        <is>
          <t>Gas &amp; VOC › MEMS MOX</t>
        </is>
      </c>
      <c r="E425" s="45" t="inlineStr">
        <is>
          <t>Measures</t>
        </is>
      </c>
      <c r="F425" s="12" t="inlineStr">
        <is>
          <t>CO + NO2 + NH3 on three independent channels</t>
        </is>
      </c>
    </row>
    <row r="426" outlineLevel="1" ht="15" customHeight="1">
      <c r="A426" s="45" t="inlineStr">
        <is>
          <t>Modality</t>
        </is>
      </c>
      <c r="B426" s="12" t="inlineStr">
        <is>
          <t>—</t>
        </is>
      </c>
      <c r="E426" s="45" t="inlineStr">
        <is>
          <t>Interface</t>
        </is>
      </c>
      <c r="F426" s="12" t="inlineStr">
        <is>
          <t>Analog</t>
        </is>
      </c>
    </row>
    <row r="427" outlineLevel="1" ht="15" customHeight="1">
      <c r="A427" s="45" t="inlineStr">
        <is>
          <t>Supply</t>
        </is>
      </c>
      <c r="B427" s="12" t="inlineStr">
        <is>
          <t>3.3-5V</t>
        </is>
      </c>
      <c r="E427" s="45" t="inlineStr">
        <is>
          <t>Price</t>
        </is>
      </c>
      <c r="F427" s="12" t="inlineStr">
        <is>
          <t>$20  ($$$)</t>
        </is>
      </c>
    </row>
    <row r="428" outlineLevel="1" ht="15" customHeight="1">
      <c r="A428" s="45" t="inlineStr">
        <is>
          <t>Difficulty</t>
        </is>
      </c>
      <c r="B428" s="12" t="inlineStr">
        <is>
          <t>3 — Some skill — calibration, level shifting, timing, or datasheet reading required</t>
        </is>
      </c>
    </row>
    <row r="429" outlineLevel="1" ht="23" customHeight="1">
      <c r="A429" s="45" t="inlineStr">
        <is>
          <t>HOW</t>
        </is>
      </c>
      <c r="B429" s="46" t="inlineStr">
        <is>
          <t>Three separately-doped MOX elements in one package give you three analog channels — closest hobby part to a multi-pollutant station.</t>
        </is>
      </c>
    </row>
    <row r="430" outlineLevel="1" ht="18" customHeight="1">
      <c r="A430" s="45" t="inlineStr">
        <is>
          <t>COMMON</t>
        </is>
      </c>
      <c r="B430" s="46" t="inlineStr">
        <is>
          <t>Traffic pollution studies, indoor combustion profiling, science fair AQ stations.</t>
        </is>
      </c>
    </row>
    <row r="431" outlineLevel="1" ht="21" customHeight="1">
      <c r="A431" s="45" t="inlineStr">
        <is>
          <t>INVENTION</t>
        </is>
      </c>
      <c r="B431" s="48" t="inlineStr">
        <is>
          <t>Curbside NO2 vs your backyard: two nodes prove (or disprove) whether closing your windows at rush hour matters.</t>
        </is>
      </c>
    </row>
    <row r="432" outlineLevel="1" ht="16" customHeight="1">
      <c r="A432" s="45" t="inlineStr">
        <is>
          <t>PAIRS</t>
        </is>
      </c>
      <c r="B432" s="46" t="inlineStr">
        <is>
          <t>PMS5003 + SCD41 for a full citizen-science station</t>
        </is>
      </c>
    </row>
    <row r="433" outlineLevel="1" ht="15" customHeight="1">
      <c r="A433" s="45" t="inlineStr">
        <is>
          <t>KEY</t>
        </is>
      </c>
      <c r="B433" s="46" t="inlineStr">
        <is>
          <t>NO2 0.05-10ppm, CO 1-1000ppm, NH3 1-500ppm</t>
        </is>
      </c>
    </row>
    <row r="434" outlineLevel="1" ht="16" customHeight="1">
      <c r="A434" s="45" t="inlineStr">
        <is>
          <t>buy</t>
        </is>
      </c>
      <c r="B434" s="49" t="inlineStr">
        <is>
          <t>SS · DFR · AE   |   boards: Grove Multichannel Gas, DFRobot MiCS-6814   |   lib: Seeed Multichannel_Gas_Sensor   [High]</t>
        </is>
      </c>
    </row>
    <row r="436" ht="22" customHeight="1">
      <c r="A436" s="54" t="inlineStr">
        <is>
          <t>S032</t>
        </is>
      </c>
      <c r="B436" s="55" t="inlineStr">
        <is>
          <t>SGP30 eCO2/TVOC (legacy)   ·   SGP30</t>
        </is>
      </c>
    </row>
    <row r="437" outlineLevel="1" ht="15" customHeight="1">
      <c r="A437" s="45" t="inlineStr">
        <is>
          <t>Category</t>
        </is>
      </c>
      <c r="B437" s="12" t="inlineStr">
        <is>
          <t>Gas &amp; VOC › MEMS VOC</t>
        </is>
      </c>
      <c r="E437" s="45" t="inlineStr">
        <is>
          <t>Measures</t>
        </is>
      </c>
      <c r="F437" s="12" t="inlineStr">
        <is>
          <t>TVOC ppb + eCO2 estimate</t>
        </is>
      </c>
    </row>
    <row r="438" outlineLevel="1" ht="15" customHeight="1">
      <c r="A438" s="45" t="inlineStr">
        <is>
          <t>Modality</t>
        </is>
      </c>
      <c r="B438" s="12" t="inlineStr">
        <is>
          <t>—</t>
        </is>
      </c>
      <c r="E438" s="45" t="inlineStr">
        <is>
          <t>Interface</t>
        </is>
      </c>
      <c r="F438" s="12" t="inlineStr">
        <is>
          <t>I2C</t>
        </is>
      </c>
    </row>
    <row r="439" outlineLevel="1" ht="15" customHeight="1">
      <c r="A439" s="45" t="inlineStr">
        <is>
          <t>Supply</t>
        </is>
      </c>
      <c r="B439" s="12" t="inlineStr">
        <is>
          <t>1.6-1.9V core (boards 3.3/5V)</t>
        </is>
      </c>
      <c r="E439" s="45" t="inlineStr">
        <is>
          <t>Price</t>
        </is>
      </c>
      <c r="F439" s="12" t="inlineStr">
        <is>
          <t>$10  ($$)</t>
        </is>
      </c>
    </row>
    <row r="440" outlineLevel="1" ht="15" customHeight="1">
      <c r="A440" s="45" t="inlineStr">
        <is>
          <t>Difficulty</t>
        </is>
      </c>
      <c r="B440" s="12" t="inlineStr">
        <is>
          <t>1 — Plug and play — Qwiic/STEMMA cable or 3 wires, library example works first time</t>
        </is>
      </c>
    </row>
    <row r="441" outlineLevel="1" ht="24" customHeight="1">
      <c r="A441" s="45" t="inlineStr">
        <is>
          <t>HOW</t>
        </is>
      </c>
      <c r="B441" s="46" t="inlineStr">
        <is>
          <t>Earlier Sensirion MOX part; still everywhere in tutorials. Estimates 'equivalent CO2' from VOCs — fine for trends, wrong for actual CO2 decisions.</t>
        </is>
      </c>
    </row>
    <row r="442" outlineLevel="1" ht="17" customHeight="1">
      <c r="A442" s="45" t="inlineStr">
        <is>
          <t>COMMON</t>
        </is>
      </c>
      <c r="B442" s="46" t="inlineStr">
        <is>
          <t>Air dashboards, fan automation, lots of existing project code to copy.</t>
        </is>
      </c>
    </row>
    <row r="443" outlineLevel="1" ht="23" customHeight="1">
      <c r="A443" s="45" t="inlineStr">
        <is>
          <t>INVENTION</t>
        </is>
      </c>
      <c r="B443" s="48" t="inlineStr">
        <is>
          <t>Pair with a door/window reed sensor to quantify exactly how fast airing-out actually clears your room — myth-bust ventilation habits.</t>
        </is>
      </c>
    </row>
    <row r="444" outlineLevel="1" ht="16" customHeight="1">
      <c r="A444" s="45" t="inlineStr">
        <is>
          <t>PAIRS</t>
        </is>
      </c>
      <c r="B444" s="46" t="inlineStr">
        <is>
          <t>Reed switches, SCD41 to compare eCO2 vs real CO2</t>
        </is>
      </c>
    </row>
    <row r="445" outlineLevel="1" ht="15" customHeight="1">
      <c r="A445" s="45" t="inlineStr">
        <is>
          <t>KEY</t>
        </is>
      </c>
      <c r="B445" s="46" t="inlineStr">
        <is>
          <t>TVOC 0-60000ppb; needs baseline persistence</t>
        </is>
      </c>
    </row>
    <row r="446" outlineLevel="1" ht="16" customHeight="1">
      <c r="A446" s="45" t="inlineStr">
        <is>
          <t>buy</t>
        </is>
      </c>
      <c r="B446" s="49" t="inlineStr">
        <is>
          <t>AF · SF · AE · DK   |   boards: Adafruit 3709   |   lib: Adafruit_SGP30   [High]</t>
        </is>
      </c>
    </row>
    <row r="448" ht="22" customHeight="1">
      <c r="A448" s="54" t="inlineStr">
        <is>
          <t>S033</t>
        </is>
      </c>
      <c r="B448" s="55" t="inlineStr">
        <is>
          <t>Electrochemical gas cells   ·   SPEC/EC-Sense/Alphasense (CO, NO2, O3, SO2, H2S)</t>
        </is>
      </c>
    </row>
    <row r="449" outlineLevel="1" ht="15" customHeight="1">
      <c r="A449" s="45" t="inlineStr">
        <is>
          <t>Category</t>
        </is>
      </c>
      <c r="B449" s="12" t="inlineStr">
        <is>
          <t>Gas &amp; VOC › Electrochemical (specific)</t>
        </is>
      </c>
      <c r="E449" s="45" t="inlineStr">
        <is>
          <t>Measures</t>
        </is>
      </c>
      <c r="F449" s="12" t="inlineStr">
        <is>
          <t>ONE specific toxic gas, accurately, in ppb-ppm</t>
        </is>
      </c>
    </row>
    <row r="450" outlineLevel="1" ht="15" customHeight="1">
      <c r="A450" s="45" t="inlineStr">
        <is>
          <t>Modality</t>
        </is>
      </c>
      <c r="B450" s="12" t="inlineStr">
        <is>
          <t>—</t>
        </is>
      </c>
      <c r="E450" s="45" t="inlineStr">
        <is>
          <t>Interface</t>
        </is>
      </c>
      <c r="F450" s="12" t="inlineStr">
        <is>
          <t>UART / Analog</t>
        </is>
      </c>
    </row>
    <row r="451" outlineLevel="1" ht="15" customHeight="1">
      <c r="A451" s="45" t="inlineStr">
        <is>
          <t>Supply</t>
        </is>
      </c>
      <c r="B451" s="12" t="inlineStr">
        <is>
          <t>3.3V AFE</t>
        </is>
      </c>
      <c r="E451" s="45" t="inlineStr">
        <is>
          <t>Price</t>
        </is>
      </c>
      <c r="F451" s="12" t="inlineStr">
        <is>
          <t>$80  ($$$$)</t>
        </is>
      </c>
    </row>
    <row r="452" outlineLevel="1" ht="15" customHeight="1">
      <c r="A452" s="45" t="inlineStr">
        <is>
          <t>Difficulty</t>
        </is>
      </c>
      <c r="B452" s="12" t="inlineStr">
        <is>
          <t>4 — Advanced — analog front-ends, protocol work, mechanical integration, or real safety</t>
        </is>
      </c>
    </row>
    <row r="453" outlineLevel="1" ht="26" customHeight="1">
      <c r="A453" s="45" t="inlineStr">
        <is>
          <t>HOW</t>
        </is>
      </c>
      <c r="B453" s="46" t="inlineStr">
        <is>
          <t>The target gas reacts at an electrode producing a tiny current proportional to concentration — same tech as professional safety badges; selective and quantitative, unlike MOX.</t>
        </is>
      </c>
    </row>
    <row r="454" outlineLevel="1" ht="20" customHeight="1">
      <c r="A454" s="45" t="inlineStr">
        <is>
          <t>COMMON</t>
        </is>
      </c>
      <c r="B454" s="46" t="inlineStr">
        <is>
          <t>Real safety-relevant CO logging, ozone near laser printers/purifiers, H2S in plumbing/sewage projects.</t>
        </is>
      </c>
    </row>
    <row r="455" outlineLevel="1" ht="19" customHeight="1">
      <c r="A455" s="45" t="inlineStr">
        <is>
          <t>INVENTION</t>
        </is>
      </c>
      <c r="B455" s="48" t="inlineStr">
        <is>
          <t>An 'ozone honesty meter' for ionizing air purifiers — many emit ozone; publish the receipts.</t>
        </is>
      </c>
    </row>
    <row r="456" outlineLevel="1" ht="15" customHeight="1">
      <c r="A456" s="45" t="inlineStr">
        <is>
          <t>PAIRS</t>
        </is>
      </c>
      <c r="B456" s="46" t="inlineStr">
        <is>
          <t>LMP91000 AFE, TLA2024 ADC, calibration gas kit</t>
        </is>
      </c>
    </row>
    <row r="457" outlineLevel="1" ht="15" customHeight="1">
      <c r="A457" s="45" t="inlineStr">
        <is>
          <t>KEY</t>
        </is>
      </c>
      <c r="B457" s="46" t="inlineStr">
        <is>
          <t>ppb-class for O3/NO2 cells; 1-2yr cell life</t>
        </is>
      </c>
    </row>
    <row r="458" outlineLevel="1" ht="16" customHeight="1">
      <c r="A458" s="45" t="inlineStr">
        <is>
          <t>buy</t>
        </is>
      </c>
      <c r="B458" s="49" t="inlineStr">
        <is>
          <t>DK · MO · SS · AE   |   boards: SPEC DGS-CO UART modules, Grove versions, ULPSM analog frontends   |   lib: UART parse or LMP91000 AFE code   [High]</t>
        </is>
      </c>
    </row>
    <row r="460" ht="22" customHeight="1">
      <c r="A460" s="54" t="inlineStr">
        <is>
          <t>S034</t>
        </is>
      </c>
      <c r="B460" s="55" t="inlineStr">
        <is>
          <t>ZE08-CH2O formaldehyde   ·   ZE08-CH2O / WZ-S</t>
        </is>
      </c>
    </row>
    <row r="461" outlineLevel="1" ht="15" customHeight="1">
      <c r="A461" s="45" t="inlineStr">
        <is>
          <t>Category</t>
        </is>
      </c>
      <c r="B461" s="12" t="inlineStr">
        <is>
          <t>Gas &amp; VOC › Electrochemical (specific)</t>
        </is>
      </c>
      <c r="E461" s="45" t="inlineStr">
        <is>
          <t>Measures</t>
        </is>
      </c>
      <c r="F461" s="12" t="inlineStr">
        <is>
          <t>Formaldehyde (HCHO) 0-5ppm</t>
        </is>
      </c>
    </row>
    <row r="462" outlineLevel="1" ht="15" customHeight="1">
      <c r="A462" s="45" t="inlineStr">
        <is>
          <t>Modality</t>
        </is>
      </c>
      <c r="B462" s="12" t="inlineStr">
        <is>
          <t>—</t>
        </is>
      </c>
      <c r="E462" s="45" t="inlineStr">
        <is>
          <t>Interface</t>
        </is>
      </c>
      <c r="F462" s="12" t="inlineStr">
        <is>
          <t>UART / Analog</t>
        </is>
      </c>
    </row>
    <row r="463" outlineLevel="1" ht="15" customHeight="1">
      <c r="A463" s="45" t="inlineStr">
        <is>
          <t>Supply</t>
        </is>
      </c>
      <c r="B463" s="12" t="inlineStr">
        <is>
          <t>3.7-9V</t>
        </is>
      </c>
      <c r="E463" s="45" t="inlineStr">
        <is>
          <t>Price</t>
        </is>
      </c>
      <c r="F463" s="12" t="inlineStr">
        <is>
          <t>$22  ($$$)</t>
        </is>
      </c>
    </row>
    <row r="464" outlineLevel="1" ht="15" customHeight="1">
      <c r="A464" s="45" t="inlineStr">
        <is>
          <t>Difficulty</t>
        </is>
      </c>
      <c r="B464" s="12" t="inlineStr">
        <is>
          <t>2 — Easy — breadboard wiring, a well-documented library, no analog thought needed</t>
        </is>
      </c>
    </row>
    <row r="465" outlineLevel="1" ht="23" customHeight="1">
      <c r="A465" s="45" t="inlineStr">
        <is>
          <t>HOW</t>
        </is>
      </c>
      <c r="B465" s="46" t="inlineStr">
        <is>
          <t>Electrochemical cell specific to formaldehyde with onboard MCU streaming ppb over UART — the new-furniture/renovation off-gassing detector.</t>
        </is>
      </c>
    </row>
    <row r="466" outlineLevel="1" ht="17" customHeight="1">
      <c r="A466" s="45" t="inlineStr">
        <is>
          <t>COMMON</t>
        </is>
      </c>
      <c r="B466" s="46" t="inlineStr">
        <is>
          <t>New-flat off-gassing checks, furniture/flooring QA, lab safety corners.</t>
        </is>
      </c>
    </row>
    <row r="467" outlineLevel="1" ht="23" customHeight="1">
      <c r="A467" s="45" t="inlineStr">
        <is>
          <t>INVENTION</t>
        </is>
      </c>
      <c r="B467" s="48" t="inlineStr">
        <is>
          <t>A 'new furniture quarantine' monitor for the garage: logs HCHO decay curve and texts when the new dresser is safe for the kid's room.</t>
        </is>
      </c>
    </row>
    <row r="468" outlineLevel="1" ht="15" customHeight="1">
      <c r="A468" s="45" t="inlineStr">
        <is>
          <t>PAIRS</t>
        </is>
      </c>
      <c r="B468" s="46" t="inlineStr">
        <is>
          <t>SGP41 + ENS160 to cross-check VOC families</t>
        </is>
      </c>
    </row>
    <row r="469" outlineLevel="1" ht="15" customHeight="1">
      <c r="A469" s="45" t="inlineStr">
        <is>
          <t>KEY</t>
        </is>
      </c>
      <c r="B469" s="46" t="inlineStr">
        <is>
          <t>0.01ppm resolution, Winsen cell</t>
        </is>
      </c>
    </row>
    <row r="470" outlineLevel="1" ht="16" customHeight="1">
      <c r="A470" s="45" t="inlineStr">
        <is>
          <t>buy</t>
        </is>
      </c>
      <c r="B470" s="49" t="inlineStr">
        <is>
          <t>AE · DFR   |   boards: Winsen module; DFRobot SEN0231 (I2C version)   |   lib: UART parsing, DFRobot_HCHO   [High]</t>
        </is>
      </c>
    </row>
    <row r="472" ht="22" customHeight="1">
      <c r="A472" s="54" t="inlineStr">
        <is>
          <t>S035</t>
        </is>
      </c>
      <c r="B472" s="55" t="inlineStr">
        <is>
          <t>NDIR methane / hydrocarbon module   ·   Winsen MH-741A / Cubic SJH-5 (CH4 NDIR)</t>
        </is>
      </c>
    </row>
    <row r="473" outlineLevel="1" ht="15" customHeight="1">
      <c r="A473" s="45" t="inlineStr">
        <is>
          <t>Category</t>
        </is>
      </c>
      <c r="B473" s="12" t="inlineStr">
        <is>
          <t>Gas &amp; VOC › NDIR (optical)</t>
        </is>
      </c>
      <c r="E473" s="45" t="inlineStr">
        <is>
          <t>Measures</t>
        </is>
      </c>
      <c r="F473" s="12" t="inlineStr">
        <is>
          <t>Methane / combustible gas optically</t>
        </is>
      </c>
    </row>
    <row r="474" outlineLevel="1" ht="15" customHeight="1">
      <c r="A474" s="45" t="inlineStr">
        <is>
          <t>Modality</t>
        </is>
      </c>
      <c r="B474" s="12" t="inlineStr">
        <is>
          <t>—</t>
        </is>
      </c>
      <c r="E474" s="45" t="inlineStr">
        <is>
          <t>Interface</t>
        </is>
      </c>
      <c r="F474" s="12" t="inlineStr">
        <is>
          <t>UART / Analog</t>
        </is>
      </c>
    </row>
    <row r="475" outlineLevel="1" ht="15" customHeight="1">
      <c r="A475" s="45" t="inlineStr">
        <is>
          <t>Supply</t>
        </is>
      </c>
      <c r="B475" s="12" t="inlineStr">
        <is>
          <t>5V</t>
        </is>
      </c>
      <c r="E475" s="45" t="inlineStr">
        <is>
          <t>Price</t>
        </is>
      </c>
      <c r="F475" s="12" t="inlineStr">
        <is>
          <t>$45  ($$$)</t>
        </is>
      </c>
    </row>
    <row r="476" outlineLevel="1" ht="15" customHeight="1">
      <c r="A476" s="45" t="inlineStr">
        <is>
          <t>Difficulty</t>
        </is>
      </c>
      <c r="B476" s="12" t="inlineStr">
        <is>
          <t>3 — Some skill — calibration, level shifting, timing, or datasheet reading required</t>
        </is>
      </c>
    </row>
    <row r="477" outlineLevel="1" ht="24" customHeight="1">
      <c r="A477" s="45" t="inlineStr">
        <is>
          <t>HOW</t>
        </is>
      </c>
      <c r="B477" s="46" t="inlineStr">
        <is>
          <t>Shines infrared through gas; methane absorbs specific wavelengths, so dimming at those wavelengths = concentration. No chemical wear-out, very selective.</t>
        </is>
      </c>
    </row>
    <row r="478" outlineLevel="1" ht="19" customHeight="1">
      <c r="A478" s="45" t="inlineStr">
        <is>
          <t>COMMON</t>
        </is>
      </c>
      <c r="B478" s="46" t="inlineStr">
        <is>
          <t>Biogas digesters, boat bilge methane, long-life leak watch where MQ sensors drift out.</t>
        </is>
      </c>
    </row>
    <row r="479" outlineLevel="1" ht="22" customHeight="1">
      <c r="A479" s="45" t="inlineStr">
        <is>
          <t>INVENTION</t>
        </is>
      </c>
      <c r="B479" s="48" t="inlineStr">
        <is>
          <t>Home biogas experimenter's dashboard: CH4 % + bag fill (pressure) + temp tells you exactly how happy your digester microbes are.</t>
        </is>
      </c>
    </row>
    <row r="480" outlineLevel="1" ht="15" customHeight="1">
      <c r="A480" s="45" t="inlineStr">
        <is>
          <t>PAIRS</t>
        </is>
      </c>
      <c r="B480" s="46" t="inlineStr">
        <is>
          <t>MPRLS for gas-bag pressure, DS18B20 in digester</t>
        </is>
      </c>
    </row>
    <row r="481" outlineLevel="1" ht="15" customHeight="1">
      <c r="A481" s="45" t="inlineStr">
        <is>
          <t>KEY</t>
        </is>
      </c>
      <c r="B481" s="46" t="inlineStr">
        <is>
          <t>0-100% LEL variants; long-life vs catalytic</t>
        </is>
      </c>
    </row>
    <row r="482" outlineLevel="1" ht="16" customHeight="1">
      <c r="A482" s="45" t="inlineStr">
        <is>
          <t>buy</t>
        </is>
      </c>
      <c r="B482" s="49" t="inlineStr">
        <is>
          <t>AE · DK   |   boards: Winsen NDIR modules   |   lib: UART per datasheet   [High]</t>
        </is>
      </c>
    </row>
    <row r="484" ht="22" customHeight="1">
      <c r="A484" s="56" t="inlineStr">
        <is>
          <t>S036</t>
        </is>
      </c>
      <c r="B484" s="57" t="inlineStr">
        <is>
          <t>SCD41 true CO2   ·   SCD41 / SCD40</t>
        </is>
      </c>
    </row>
    <row r="485" outlineLevel="1" ht="15" customHeight="1">
      <c r="A485" s="45" t="inlineStr">
        <is>
          <t>Category</t>
        </is>
      </c>
      <c r="B485" s="12" t="inlineStr">
        <is>
          <t>CO2 › Photoacoustic</t>
        </is>
      </c>
      <c r="E485" s="45" t="inlineStr">
        <is>
          <t>Measures</t>
        </is>
      </c>
      <c r="F485" s="12" t="inlineStr">
        <is>
          <t>Real CO2 400-5000ppm + RH + temp</t>
        </is>
      </c>
    </row>
    <row r="486" outlineLevel="1" ht="15" customHeight="1">
      <c r="A486" s="45" t="inlineStr">
        <is>
          <t>Modality</t>
        </is>
      </c>
      <c r="B486" s="12" t="inlineStr">
        <is>
          <t>Chemical</t>
        </is>
      </c>
      <c r="E486" s="45" t="inlineStr">
        <is>
          <t>Interface</t>
        </is>
      </c>
      <c r="F486" s="12" t="inlineStr">
        <is>
          <t>I2C</t>
        </is>
      </c>
    </row>
    <row r="487" outlineLevel="1" ht="15" customHeight="1">
      <c r="A487" s="45" t="inlineStr">
        <is>
          <t>Supply</t>
        </is>
      </c>
      <c r="B487" s="12" t="inlineStr">
        <is>
          <t>2.4-5.5V</t>
        </is>
      </c>
      <c r="E487" s="45" t="inlineStr">
        <is>
          <t>Price</t>
        </is>
      </c>
      <c r="F487" s="12" t="inlineStr">
        <is>
          <t>$25  ($$$)</t>
        </is>
      </c>
    </row>
    <row r="488" outlineLevel="1" ht="15" customHeight="1">
      <c r="A488" s="45" t="inlineStr">
        <is>
          <t>Difficulty</t>
        </is>
      </c>
      <c r="B488" s="12" t="inlineStr">
        <is>
          <t>1 — Plug and play — Qwiic/STEMMA cable or 3 wires, library example works first time</t>
        </is>
      </c>
    </row>
    <row r="489" outlineLevel="1" ht="25" customHeight="1">
      <c r="A489" s="45" t="inlineStr">
        <is>
          <t>HOW</t>
        </is>
      </c>
      <c r="B489" s="46" t="inlineStr">
        <is>
          <t>Fires IR pulses into a chamber; CO2 absorbs them and the gas literally 'pops' acoustically — a microphone hears how much. Miniaturised real CO2, not an estimate.</t>
        </is>
      </c>
    </row>
    <row r="490" outlineLevel="1" ht="54" customHeight="1">
      <c r="A490" s="45" t="inlineStr">
        <is>
          <t>WHAT</t>
        </is>
      </c>
      <c r="B490" s="47" t="inlineStr">
        <is>
          <t>Automatic self-calibration assumes the space returns to ~400 ppm at least once a week. In a continuously occupied room — a bedroom, a greenhouse, an office — that assumption is false, and the sensor silently re-baselines downward until it under-reads badly. Disable ASC and calibrate outdoors instead. Ambient pressure must be set for altitude or readings drift with weather. Breathing on it saturates the reading for minutes. Its own 205mA measurement pulse self-heats the co-located temperature reading.</t>
        </is>
      </c>
    </row>
    <row r="491" outlineLevel="1" ht="19" customHeight="1">
      <c r="A491" s="45" t="inlineStr">
        <is>
          <t>COMMON</t>
        </is>
      </c>
      <c r="B491" s="46" t="inlineStr">
        <is>
          <t>Ventilation/CO2 traffic-light displays, classroom air, sleep-room stuffiness, grow rooms.</t>
        </is>
      </c>
    </row>
    <row r="492" outlineLevel="1" ht="23" customHeight="1">
      <c r="A492" s="45" t="inlineStr">
        <is>
          <t>INVENTION</t>
        </is>
      </c>
      <c r="B492" s="48" t="inlineStr">
        <is>
          <t>Meeting-room honesty light: ePaper sign showing live CO2 with 'this room needs 10 min of airing' — behaviour changes when the number is public.</t>
        </is>
      </c>
    </row>
    <row r="493" outlineLevel="1" ht="18" customHeight="1">
      <c r="A493" s="45" t="inlineStr">
        <is>
          <t>SUBSTITUT</t>
        </is>
      </c>
      <c r="B493" s="46" t="inlineStr">
        <is>
          <t>Greenhouse range to 10000 ppm: SCD30. Cheaper: MH-Z19C. Percent-level: STC31.</t>
        </is>
      </c>
    </row>
    <row r="494" outlineLevel="1" ht="15" customHeight="1">
      <c r="A494" s="45" t="inlineStr">
        <is>
          <t>PAIRS</t>
        </is>
      </c>
      <c r="B494" s="46" t="inlineStr">
        <is>
          <t>ePaper, SGP41, PM sensor for the IAQ trifecta</t>
        </is>
      </c>
    </row>
    <row r="495" outlineLevel="1" ht="31" customHeight="1">
      <c r="A495" s="45" t="inlineStr">
        <is>
          <t>KEY</t>
        </is>
      </c>
      <c r="B495" s="46" t="inlineStr">
        <is>
          <t>±(40ppm+5%), tiny footprint, low-power single-shot mode. Set the ambient-pressure or altitude register — uncompensated readings drift with weather and are badly wrong above ~500m. SCD40 tops out at 2000ppm; SCD41 reaches 5000ppm.</t>
        </is>
      </c>
    </row>
    <row r="496" outlineLevel="1" ht="33" customHeight="1">
      <c r="A496" s="45" t="inlineStr">
        <is>
          <t>specs</t>
        </is>
      </c>
      <c r="B496" s="49" t="inlineStr">
        <is>
          <t>Range: 400-5000 ppm   Accuracy: ±(40 ppm + 5%)   Resolution: 1 ppm   Rate: 1 reading / 5 s (periodic mode)   Warm-up: First valid reading after ~60 s   I2C addr: 0x62 (fixed)   Calibration: One-point   Environment: Indoor   Lifecycle: Active   Maturity: Excellent   ESP32: Any variant; the 205mA pulse needs decent supply decoupling</t>
        </is>
      </c>
    </row>
    <row r="497" outlineLevel="1" ht="16" customHeight="1">
      <c r="A497" s="45" t="inlineStr">
        <is>
          <t>buy</t>
        </is>
      </c>
      <c r="B497" s="49" t="inlineStr">
        <is>
          <t>AF · SF · DK · MO · PI   |   boards: Adafruit 5190, SparkFun Qwiic SCD41   |   lib: Sensirion scd4x, Adafruit fork   [High, 2026-07]</t>
        </is>
      </c>
    </row>
    <row r="498" outlineLevel="1" ht="45" customHeight="1">
      <c r="A498" s="50" t="inlineStr">
        <is>
          <t>unlocks</t>
        </is>
      </c>
      <c r="B498" s="51" t="inlineStr">
        <is>
          <t>Is this room stuffy — does it need fresh air?  •  Is ventilation actually working?  •  Is anyone here?  •  How many people are in this space?  •  What is the beehive doing?  •  How fast is it growing?</t>
        </is>
      </c>
    </row>
    <row r="500" ht="22" customHeight="1">
      <c r="A500" s="54" t="inlineStr">
        <is>
          <t>S037</t>
        </is>
      </c>
      <c r="B500" s="55" t="inlineStr">
        <is>
          <t>SCD30 NDIR CO2   ·   SCD30</t>
        </is>
      </c>
    </row>
    <row r="501" outlineLevel="1" ht="15" customHeight="1">
      <c r="A501" s="45" t="inlineStr">
        <is>
          <t>Category</t>
        </is>
      </c>
      <c r="B501" s="12" t="inlineStr">
        <is>
          <t>CO2 › Classic NDIR</t>
        </is>
      </c>
      <c r="E501" s="45" t="inlineStr">
        <is>
          <t>Measures</t>
        </is>
      </c>
      <c r="F501" s="12" t="inlineStr">
        <is>
          <t>Real CO2 400-10000ppm + RH + temp</t>
        </is>
      </c>
    </row>
    <row r="502" outlineLevel="1" ht="15" customHeight="1">
      <c r="A502" s="45" t="inlineStr">
        <is>
          <t>Modality</t>
        </is>
      </c>
      <c r="B502" s="12" t="inlineStr">
        <is>
          <t>—</t>
        </is>
      </c>
      <c r="E502" s="45" t="inlineStr">
        <is>
          <t>Interface</t>
        </is>
      </c>
      <c r="F502" s="12" t="inlineStr">
        <is>
          <t>I2C / RS-485 / PWM</t>
        </is>
      </c>
    </row>
    <row r="503" outlineLevel="1" ht="15" customHeight="1">
      <c r="A503" s="45" t="inlineStr">
        <is>
          <t>Supply</t>
        </is>
      </c>
      <c r="B503" s="12" t="inlineStr">
        <is>
          <t>3.3-5.5V</t>
        </is>
      </c>
      <c r="E503" s="45" t="inlineStr">
        <is>
          <t>Price</t>
        </is>
      </c>
      <c r="F503" s="12" t="inlineStr">
        <is>
          <t>$40  ($$$)</t>
        </is>
      </c>
    </row>
    <row r="504" outlineLevel="1" ht="15" customHeight="1">
      <c r="A504" s="45" t="inlineStr">
        <is>
          <t>Difficulty</t>
        </is>
      </c>
      <c r="B504" s="12" t="inlineStr">
        <is>
          <t>1 — Plug and play — Qwiic/STEMMA cable or 3 wires, library example works first time</t>
        </is>
      </c>
    </row>
    <row r="505" outlineLevel="1" ht="22" customHeight="1">
      <c r="A505" s="45" t="inlineStr">
        <is>
          <t>HOW</t>
        </is>
      </c>
      <c r="B505" s="46" t="inlineStr">
        <is>
          <t>Classic optical bench NDIR — bigger and pricier than SCD41 but with a longer track record and 10000ppm top end for greenhouses.</t>
        </is>
      </c>
    </row>
    <row r="506" outlineLevel="1" ht="18" customHeight="1">
      <c r="A506" s="45" t="inlineStr">
        <is>
          <t>COMMON</t>
        </is>
      </c>
      <c r="B506" s="46" t="inlineStr">
        <is>
          <t>Greenhouse CO2 enrichment control, incubators, HVAC demand-control ventilation.</t>
        </is>
      </c>
    </row>
    <row r="507" outlineLevel="1" ht="22" customHeight="1">
      <c r="A507" s="45" t="inlineStr">
        <is>
          <t>INVENTION</t>
        </is>
      </c>
      <c r="B507" s="48" t="inlineStr">
        <is>
          <t>Mushroom/greenhouse CO2 dosing loop: SCD30 + solenoid on a CO2 tank + safety cutoffs — commercial controllers are $500+.</t>
        </is>
      </c>
    </row>
    <row r="508" outlineLevel="1" ht="15" customHeight="1">
      <c r="A508" s="45" t="inlineStr">
        <is>
          <t>PAIRS</t>
        </is>
      </c>
      <c r="B508" s="46" t="inlineStr">
        <is>
          <t>Solenoid valve + relay, SHT35 probe</t>
        </is>
      </c>
    </row>
    <row r="509" outlineLevel="1" ht="15" customHeight="1">
      <c r="A509" s="45" t="inlineStr">
        <is>
          <t>KEY</t>
        </is>
      </c>
      <c r="B509" s="46" t="inlineStr">
        <is>
          <t>±(30ppm+3%), auto-self-calibration toggleable</t>
        </is>
      </c>
    </row>
    <row r="510" outlineLevel="1" ht="16" customHeight="1">
      <c r="A510" s="45" t="inlineStr">
        <is>
          <t>buy</t>
        </is>
      </c>
      <c r="B510" s="49" t="inlineStr">
        <is>
          <t>AF · SF · DK · MO · SS   |   boards: Adafruit 4867, Grove SCD30   |   lib: Adafruit_SCD30, Sensirion   [High]</t>
        </is>
      </c>
    </row>
    <row r="512" ht="22" customHeight="1">
      <c r="A512" s="54" t="inlineStr">
        <is>
          <t>S038</t>
        </is>
      </c>
      <c r="B512" s="55" t="inlineStr">
        <is>
          <t>MH-Z19C budget NDIR CO2   ·   MH-Z19C / MH-Z19B</t>
        </is>
      </c>
    </row>
    <row r="513" outlineLevel="1" ht="15" customHeight="1">
      <c r="A513" s="45" t="inlineStr">
        <is>
          <t>Category</t>
        </is>
      </c>
      <c r="B513" s="12" t="inlineStr">
        <is>
          <t>CO2 › Classic NDIR</t>
        </is>
      </c>
      <c r="E513" s="45" t="inlineStr">
        <is>
          <t>Measures</t>
        </is>
      </c>
      <c r="F513" s="12" t="inlineStr">
        <is>
          <t>Real CO2 400-5000ppm</t>
        </is>
      </c>
    </row>
    <row r="514" outlineLevel="1" ht="15" customHeight="1">
      <c r="A514" s="45" t="inlineStr">
        <is>
          <t>Modality</t>
        </is>
      </c>
      <c r="B514" s="12" t="inlineStr">
        <is>
          <t>—</t>
        </is>
      </c>
      <c r="E514" s="45" t="inlineStr">
        <is>
          <t>Interface</t>
        </is>
      </c>
      <c r="F514" s="12" t="inlineStr">
        <is>
          <t>UART / PWM</t>
        </is>
      </c>
    </row>
    <row r="515" outlineLevel="1" ht="15" customHeight="1">
      <c r="A515" s="45" t="inlineStr">
        <is>
          <t>Supply</t>
        </is>
      </c>
      <c r="B515" s="12" t="inlineStr">
        <is>
          <t>4.5-5.5V (3.3V logic)</t>
        </is>
      </c>
      <c r="E515" s="45" t="inlineStr">
        <is>
          <t>Price</t>
        </is>
      </c>
      <c r="F515" s="12" t="inlineStr">
        <is>
          <t>$18  ($$$)</t>
        </is>
      </c>
    </row>
    <row r="516" outlineLevel="1" ht="15" customHeight="1">
      <c r="A516" s="45" t="inlineStr">
        <is>
          <t>Difficulty</t>
        </is>
      </c>
      <c r="B516" s="12" t="inlineStr">
        <is>
          <t>2 — Easy — breadboard wiring, a well-documented library, no analog thought needed</t>
        </is>
      </c>
    </row>
    <row r="517" outlineLevel="1" ht="22" customHeight="1">
      <c r="A517" s="45" t="inlineStr">
        <is>
          <t>HOW</t>
        </is>
      </c>
      <c r="B517" s="46" t="inlineStr">
        <is>
          <t>The budget NDIR workhorse from Winsen — a real optical CO2 cell with UART and PWM out; the heart of most DIY CO2 traffic lights.</t>
        </is>
      </c>
    </row>
    <row r="518" outlineLevel="1" ht="18" customHeight="1">
      <c r="A518" s="45" t="inlineStr">
        <is>
          <t>COMMON</t>
        </is>
      </c>
      <c r="B518" s="46" t="inlineStr">
        <is>
          <t>CO2 traffic lights, bedroom stuffiness loggers, citizen-science classroom fleets.</t>
        </is>
      </c>
    </row>
    <row r="519" outlineLevel="1" ht="23" customHeight="1">
      <c r="A519" s="45" t="inlineStr">
        <is>
          <t>INVENTION</t>
        </is>
      </c>
      <c r="B519" s="48" t="inlineStr">
        <is>
          <t>Whole-school CO2 fleet for the cost of one commercial monitor: 10 nodes, MQTT, one wall dashboard — ventilation politics meets data.</t>
        </is>
      </c>
    </row>
    <row r="520" outlineLevel="1" ht="15" customHeight="1">
      <c r="A520" s="45" t="inlineStr">
        <is>
          <t>PAIRS</t>
        </is>
      </c>
      <c r="B520" s="46" t="inlineStr">
        <is>
          <t>WS2812 ring as the 'traffic light', MQTT</t>
        </is>
      </c>
    </row>
    <row r="521" outlineLevel="1" ht="17" customHeight="1">
      <c r="A521" s="45" t="inlineStr">
        <is>
          <t>KEY</t>
        </is>
      </c>
      <c r="B521" s="46" t="inlineStr">
        <is>
          <t>±(50ppm+5%); watch auto-calibration in always-occupied rooms</t>
        </is>
      </c>
    </row>
    <row r="522" outlineLevel="1" ht="16" customHeight="1">
      <c r="A522" s="45" t="inlineStr">
        <is>
          <t>buy</t>
        </is>
      </c>
      <c r="B522" s="49" t="inlineStr">
        <is>
          <t>AE · AMZ   |   boards: Bare module with pin header   |   lib: MHZ19 Arduino libs   [High]</t>
        </is>
      </c>
    </row>
    <row r="524" ht="22" customHeight="1">
      <c r="A524" s="54" t="inlineStr">
        <is>
          <t>S039</t>
        </is>
      </c>
      <c r="B524" s="55" t="inlineStr">
        <is>
          <t>SenseAir S8 CO2   ·   SenseAir S8 LP</t>
        </is>
      </c>
    </row>
    <row r="525" outlineLevel="1" ht="15" customHeight="1">
      <c r="A525" s="45" t="inlineStr">
        <is>
          <t>Category</t>
        </is>
      </c>
      <c r="B525" s="12" t="inlineStr">
        <is>
          <t>CO2 › Classic NDIR</t>
        </is>
      </c>
      <c r="E525" s="45" t="inlineStr">
        <is>
          <t>Measures</t>
        </is>
      </c>
      <c r="F525" s="12" t="inlineStr">
        <is>
          <t>Real CO2 400-2000ppm (residential)</t>
        </is>
      </c>
    </row>
    <row r="526" outlineLevel="1" ht="15" customHeight="1">
      <c r="A526" s="45" t="inlineStr">
        <is>
          <t>Modality</t>
        </is>
      </c>
      <c r="B526" s="12" t="inlineStr">
        <is>
          <t>—</t>
        </is>
      </c>
      <c r="E526" s="45" t="inlineStr">
        <is>
          <t>Interface</t>
        </is>
      </c>
      <c r="F526" s="12" t="inlineStr">
        <is>
          <t>RS-485 / UART</t>
        </is>
      </c>
    </row>
    <row r="527" outlineLevel="1" ht="15" customHeight="1">
      <c r="A527" s="45" t="inlineStr">
        <is>
          <t>Supply</t>
        </is>
      </c>
      <c r="B527" s="12" t="inlineStr">
        <is>
          <t>4.5-5.25V</t>
        </is>
      </c>
      <c r="E527" s="45" t="inlineStr">
        <is>
          <t>Price</t>
        </is>
      </c>
      <c r="F527" s="12" t="inlineStr">
        <is>
          <t>$25  ($$$)</t>
        </is>
      </c>
    </row>
    <row r="528" outlineLevel="1" ht="15" customHeight="1">
      <c r="A528" s="45" t="inlineStr">
        <is>
          <t>Difficulty</t>
        </is>
      </c>
      <c r="B528" s="12" t="inlineStr">
        <is>
          <t>2 — Easy — breadboard wiring, a well-documented library, no analog thought needed</t>
        </is>
      </c>
    </row>
    <row r="529" outlineLevel="1" ht="23" customHeight="1">
      <c r="A529" s="45" t="inlineStr">
        <is>
          <t>HOW</t>
        </is>
      </c>
      <c r="B529" s="46" t="inlineStr">
        <is>
          <t>Swedish-designed NDIR cell used inside many commercial monitors (incl. early AirGradient); Modbus over UART, 15+ year lifetime rating.</t>
        </is>
      </c>
    </row>
    <row r="530" outlineLevel="1" ht="19" customHeight="1">
      <c r="A530" s="45" t="inlineStr">
        <is>
          <t>COMMON</t>
        </is>
      </c>
      <c r="B530" s="46" t="inlineStr">
        <is>
          <t>Long-life installed monitors, AirGradient DIY kits, rental-property air documentation.</t>
        </is>
      </c>
    </row>
    <row r="531" outlineLevel="1" ht="21" customHeight="1">
      <c r="A531" s="45" t="inlineStr">
        <is>
          <t>INVENTION</t>
        </is>
      </c>
      <c r="B531" s="48" t="inlineStr">
        <is>
          <t>Landlord/tenant air-quality 'black box' with tamper-evident logging — objective ventilation evidence for disputes.</t>
        </is>
      </c>
    </row>
    <row r="532" outlineLevel="1" ht="16" customHeight="1">
      <c r="A532" s="45" t="inlineStr">
        <is>
          <t>PAIRS</t>
        </is>
      </c>
      <c r="B532" s="46" t="inlineStr">
        <is>
          <t>ESP32 + PMS5003 + SHT4x = AirGradient-class station</t>
        </is>
      </c>
    </row>
    <row r="533" outlineLevel="1" ht="15" customHeight="1">
      <c r="A533" s="45" t="inlineStr">
        <is>
          <t>KEY</t>
        </is>
      </c>
      <c r="B533" s="46" t="inlineStr">
        <is>
          <t>±(40ppm+3%), proven longevity</t>
        </is>
      </c>
    </row>
    <row r="534" outlineLevel="1" ht="16" customHeight="1">
      <c r="A534" s="45" t="inlineStr">
        <is>
          <t>buy</t>
        </is>
      </c>
      <c r="B534" s="49" t="inlineStr">
        <is>
          <t>AE · DK   |   boards: Bare module   |   lib: S8_UART libs, AirGradient firmware   [High]</t>
        </is>
      </c>
    </row>
    <row r="536" ht="22" customHeight="1">
      <c r="A536" s="60" t="inlineStr">
        <is>
          <t>S040</t>
        </is>
      </c>
      <c r="B536" s="61" t="inlineStr">
        <is>
          <t>PMS5003 particulate   ·   PMS5003 / PMSA003I</t>
        </is>
      </c>
    </row>
    <row r="537" outlineLevel="1" ht="15" customHeight="1">
      <c r="A537" s="45" t="inlineStr">
        <is>
          <t>Category</t>
        </is>
      </c>
      <c r="B537" s="12" t="inlineStr">
        <is>
          <t>Particulate › Laser scattering</t>
        </is>
      </c>
      <c r="E537" s="45" t="inlineStr">
        <is>
          <t>Measures</t>
        </is>
      </c>
      <c r="F537" s="12" t="inlineStr">
        <is>
          <t>PM1.0 / PM2.5 / PM10 µg/m³ + particle counts</t>
        </is>
      </c>
    </row>
    <row r="538" outlineLevel="1" ht="15" customHeight="1">
      <c r="A538" s="45" t="inlineStr">
        <is>
          <t>Modality</t>
        </is>
      </c>
      <c r="B538" s="12" t="inlineStr">
        <is>
          <t>Optical</t>
        </is>
      </c>
      <c r="E538" s="45" t="inlineStr">
        <is>
          <t>Interface</t>
        </is>
      </c>
      <c r="F538" s="12" t="inlineStr">
        <is>
          <t>I2C / UART</t>
        </is>
      </c>
    </row>
    <row r="539" outlineLevel="1" ht="15" customHeight="1">
      <c r="A539" s="45" t="inlineStr">
        <is>
          <t>Supply</t>
        </is>
      </c>
      <c r="B539" s="12" t="inlineStr">
        <is>
          <t>5V fan, 3.3V logic</t>
        </is>
      </c>
      <c r="E539" s="45" t="inlineStr">
        <is>
          <t>Price</t>
        </is>
      </c>
      <c r="F539" s="12" t="inlineStr">
        <is>
          <t>$15  ($$$)</t>
        </is>
      </c>
    </row>
    <row r="540" outlineLevel="1" ht="15" customHeight="1">
      <c r="A540" s="45" t="inlineStr">
        <is>
          <t>Difficulty</t>
        </is>
      </c>
      <c r="B540" s="12" t="inlineStr">
        <is>
          <t>2 — Easy — breadboard wiring, a well-documented library, no analog thought needed</t>
        </is>
      </c>
    </row>
    <row r="541" outlineLevel="1" ht="24" customHeight="1">
      <c r="A541" s="45" t="inlineStr">
        <is>
          <t>HOW</t>
        </is>
      </c>
      <c r="B541" s="46" t="inlineStr">
        <is>
          <t>A fan pulls air through a laser beam; each particle scatters a flash of light that a photodiode counts and sizes — a tiny laser particle counter.</t>
        </is>
      </c>
    </row>
    <row r="542" outlineLevel="1" ht="50" customHeight="1">
      <c r="A542" s="45" t="inlineStr">
        <is>
          <t>WHAT</t>
        </is>
      </c>
      <c r="B542" s="47" t="inlineStr">
        <is>
          <t>Over-reads badly above ~75% RH: particles absorb water and swell, so fog, steam and a damp autumn morning all read like smoke. Log humidity alongside and correct, or your wildfire alarm fires on dew. It infers MASS from scattered light using an assumed particle density, so the µg/m³ figure is a convention rather than a measurement. The fan and laser have a duty-cycle life — running it continuously wears it out in a year or two, so sample intermittently.</t>
        </is>
      </c>
    </row>
    <row r="543" outlineLevel="1" ht="20" customHeight="1">
      <c r="A543" s="45" t="inlineStr">
        <is>
          <t>COMMON</t>
        </is>
      </c>
      <c r="B543" s="46" t="inlineStr">
        <is>
          <t>Wildfire smoke monitors, kitchen/candle PM tracking, purifier auto-speed, PurpleAir-style stations.</t>
        </is>
      </c>
    </row>
    <row r="544" outlineLevel="1" ht="22" customHeight="1">
      <c r="A544" s="45" t="inlineStr">
        <is>
          <t>INVENTION</t>
        </is>
      </c>
      <c r="B544" s="48" t="inlineStr">
        <is>
          <t>Pre-emptive purifier: PM node OUTSIDE turns on indoor purifiers 20 minutes before smoke infiltrates — your house defends itself.</t>
        </is>
      </c>
    </row>
    <row r="545" outlineLevel="1" ht="18" customHeight="1">
      <c r="A545" s="45" t="inlineStr">
        <is>
          <t>SUBSTITUT</t>
        </is>
      </c>
      <c r="B545" s="46" t="inlineStr">
        <is>
          <t>Calibrated and self-cleaning: SPS30. Combined with RH/T/VOC: Sensirion SEN5x.</t>
        </is>
      </c>
    </row>
    <row r="546" outlineLevel="1" ht="16" customHeight="1">
      <c r="A546" s="45" t="inlineStr">
        <is>
          <t>PAIRS</t>
        </is>
      </c>
      <c r="B546" s="46" t="inlineStr">
        <is>
          <t>Relay/IR-blaster to purifier, outdoor + indoor pair</t>
        </is>
      </c>
    </row>
    <row r="547" outlineLevel="1" ht="28" customHeight="1">
      <c r="A547" s="45" t="inlineStr">
        <is>
          <t>KEY</t>
        </is>
      </c>
      <c r="B547" s="46" t="inlineStr">
        <is>
          <t>0-500µg/m³, 6 size bins; PMSA003I is the I2C/STEMMA version. Over-reads in humid air (particles swell above ~75% RH) — pair with an RH sensor and correct, or your wildfire numbers will also spike in fog.</t>
        </is>
      </c>
    </row>
    <row r="548" outlineLevel="1" ht="32" customHeight="1">
      <c r="A548" s="45" t="inlineStr">
        <is>
          <t>specs</t>
        </is>
      </c>
      <c r="B548" s="49" t="inlineStr">
        <is>
          <t>Range: 0-500 µg/m³, six size bins   Accuracy: ±10% above 100 µg/m³; poor below ~10   Warm-up: ~30 s of fan settling before the reading means anything   Calibration: None   Environment: Indoor, Outdoor   Lifecycle: Active   Maturity: Excellent   ESP32: Any variant with a spare UART; PMSA003I is the I2C version</t>
        </is>
      </c>
    </row>
    <row r="549" outlineLevel="1" ht="22" customHeight="1">
      <c r="A549" s="52" t="inlineStr">
        <is>
          <t>⚠</t>
        </is>
      </c>
      <c r="B549" s="53" t="inlineStr">
        <is>
          <t>HAZARD: Laser — Emits laser radiation — eye safety class matters</t>
        </is>
      </c>
    </row>
    <row r="550" outlineLevel="1" ht="16" customHeight="1">
      <c r="A550" s="45" t="inlineStr">
        <is>
          <t>buy</t>
        </is>
      </c>
      <c r="B550" s="49" t="inlineStr">
        <is>
          <t>AF · AE · DK · SS   |   boards: Adafruit 4632 (I2C), bare PMS5003 with cable   |   lib: Adafruit_PM25AQI, PMS libs   [High, 2026-07]</t>
        </is>
      </c>
    </row>
    <row r="551" outlineLevel="1" ht="36" customHeight="1">
      <c r="A551" s="50" t="inlineStr">
        <is>
          <t>unlocks</t>
        </is>
      </c>
      <c r="B551" s="51" t="inlineStr">
        <is>
          <t>How polluted is the air right now?  •  Is there smoke?  •  Is someone cooking?  •  Is there a flame?</t>
        </is>
      </c>
    </row>
    <row r="553" ht="22" customHeight="1">
      <c r="A553" s="54" t="inlineStr">
        <is>
          <t>S041</t>
        </is>
      </c>
      <c r="B553" s="55" t="inlineStr">
        <is>
          <t>SPS30 premium PM   ·   SPS30</t>
        </is>
      </c>
    </row>
    <row r="554" outlineLevel="1" ht="15" customHeight="1">
      <c r="A554" s="45" t="inlineStr">
        <is>
          <t>Category</t>
        </is>
      </c>
      <c r="B554" s="12" t="inlineStr">
        <is>
          <t>Particulate › Laser scattering</t>
        </is>
      </c>
      <c r="E554" s="45" t="inlineStr">
        <is>
          <t>Measures</t>
        </is>
      </c>
      <c r="F554" s="12" t="inlineStr">
        <is>
          <t>PM1.0/2.5/4/10 with calibrated accuracy</t>
        </is>
      </c>
    </row>
    <row r="555" outlineLevel="1" ht="15" customHeight="1">
      <c r="A555" s="45" t="inlineStr">
        <is>
          <t>Modality</t>
        </is>
      </c>
      <c r="B555" s="12" t="inlineStr">
        <is>
          <t>—</t>
        </is>
      </c>
      <c r="E555" s="45" t="inlineStr">
        <is>
          <t>Interface</t>
        </is>
      </c>
      <c r="F555" s="12" t="inlineStr">
        <is>
          <t>I2C / UART</t>
        </is>
      </c>
    </row>
    <row r="556" outlineLevel="1" ht="15" customHeight="1">
      <c r="A556" s="45" t="inlineStr">
        <is>
          <t>Supply</t>
        </is>
      </c>
      <c r="B556" s="12" t="inlineStr">
        <is>
          <t>4.5-5.5V</t>
        </is>
      </c>
      <c r="E556" s="45" t="inlineStr">
        <is>
          <t>Price</t>
        </is>
      </c>
      <c r="F556" s="12" t="inlineStr">
        <is>
          <t>$45  ($$$)</t>
        </is>
      </c>
    </row>
    <row r="557" outlineLevel="1" ht="15" customHeight="1">
      <c r="A557" s="45" t="inlineStr">
        <is>
          <t>Difficulty</t>
        </is>
      </c>
      <c r="B557" s="12" t="inlineStr">
        <is>
          <t>2 — Easy — breadboard wiring, a well-documented library, no analog thought needed</t>
        </is>
      </c>
    </row>
    <row r="558" outlineLevel="1" ht="23" customHeight="1">
      <c r="A558" s="45" t="inlineStr">
        <is>
          <t>HOW</t>
        </is>
      </c>
      <c r="B558" s="46" t="inlineStr">
        <is>
          <t>Sensirion's laser counter with self-cleaning fan cycle and 10-year lifetime spec — the choice when data quality must hold up over years.</t>
        </is>
      </c>
    </row>
    <row r="559" outlineLevel="1" ht="18" customHeight="1">
      <c r="A559" s="45" t="inlineStr">
        <is>
          <t>COMMON</t>
        </is>
      </c>
      <c r="B559" s="46" t="inlineStr">
        <is>
          <t>Long-term research nodes, regulatory-adjacent studies, premium home stations.</t>
        </is>
      </c>
    </row>
    <row r="560" outlineLevel="1" ht="21" customHeight="1">
      <c r="A560" s="45" t="inlineStr">
        <is>
          <t>INVENTION</t>
        </is>
      </c>
      <c r="B560" s="48" t="inlineStr">
        <is>
          <t>A street-level PM network with calibrated SPS30s — data good enough for council meetings, not just hobby graphs.</t>
        </is>
      </c>
    </row>
    <row r="561" outlineLevel="1" ht="16" customHeight="1">
      <c r="A561" s="45" t="inlineStr">
        <is>
          <t>PAIRS</t>
        </is>
      </c>
      <c r="B561" s="46" t="inlineStr">
        <is>
          <t>Solar + LoRa for kerbside fleet, SCD41 indoor twin</t>
        </is>
      </c>
    </row>
    <row r="562" outlineLevel="1" ht="29" customHeight="1">
      <c r="A562" s="45" t="inlineStr">
        <is>
          <t>KEY</t>
        </is>
      </c>
      <c r="B562" s="46" t="inlineStr">
        <is>
          <t>±10% accuracy band, fan auto-clean, 10yr lifetime spec. NOT MCERTS certified. Like all optical PM sensors it over-reads in high humidity (hygroscopic particle growth above ~75% RH) — log RH alongside and correct.</t>
        </is>
      </c>
    </row>
    <row r="563" outlineLevel="1" ht="16" customHeight="1">
      <c r="A563" s="45" t="inlineStr">
        <is>
          <t>buy</t>
        </is>
      </c>
      <c r="B563" s="49" t="inlineStr">
        <is>
          <t>DK · MO · SS   |   boards: Bare module + JST ZH cable   |   lib: Sensirion sps30 libs   [High]</t>
        </is>
      </c>
    </row>
    <row r="565" ht="22" customHeight="1">
      <c r="A565" s="54" t="inlineStr">
        <is>
          <t>S042</t>
        </is>
      </c>
      <c r="B565" s="55" t="inlineStr">
        <is>
          <t>SDS011 particulate   ·   SDS011</t>
        </is>
      </c>
    </row>
    <row r="566" outlineLevel="1" ht="15" customHeight="1">
      <c r="A566" s="45" t="inlineStr">
        <is>
          <t>Category</t>
        </is>
      </c>
      <c r="B566" s="12" t="inlineStr">
        <is>
          <t>Particulate › Laser scattering</t>
        </is>
      </c>
      <c r="E566" s="45" t="inlineStr">
        <is>
          <t>Measures</t>
        </is>
      </c>
      <c r="F566" s="12" t="inlineStr">
        <is>
          <t>PM2.5 / PM10</t>
        </is>
      </c>
    </row>
    <row r="567" outlineLevel="1" ht="15" customHeight="1">
      <c r="A567" s="45" t="inlineStr">
        <is>
          <t>Modality</t>
        </is>
      </c>
      <c r="B567" s="12" t="inlineStr">
        <is>
          <t>—</t>
        </is>
      </c>
      <c r="E567" s="45" t="inlineStr">
        <is>
          <t>Interface</t>
        </is>
      </c>
      <c r="F567" s="12" t="inlineStr">
        <is>
          <t>UART</t>
        </is>
      </c>
    </row>
    <row r="568" outlineLevel="1" ht="15" customHeight="1">
      <c r="A568" s="45" t="inlineStr">
        <is>
          <t>Supply</t>
        </is>
      </c>
      <c r="B568" s="12" t="inlineStr">
        <is>
          <t>5V</t>
        </is>
      </c>
      <c r="E568" s="45" t="inlineStr">
        <is>
          <t>Price</t>
        </is>
      </c>
      <c r="F568" s="12" t="inlineStr">
        <is>
          <t>$20  ($$$)</t>
        </is>
      </c>
    </row>
    <row r="569" outlineLevel="1" ht="15" customHeight="1">
      <c r="A569" s="45" t="inlineStr">
        <is>
          <t>Difficulty</t>
        </is>
      </c>
      <c r="B569" s="12" t="inlineStr">
        <is>
          <t>2 — Easy — breadboard wiring, a well-documented library, no analog thought needed</t>
        </is>
      </c>
    </row>
    <row r="570" outlineLevel="1" ht="25" customHeight="1">
      <c r="A570" s="45" t="inlineStr">
        <is>
          <t>HOW</t>
        </is>
      </c>
      <c r="B570" s="46" t="inlineStr">
        <is>
          <t>The Luftdaten/Sensor.Community classic — big laser chamber gives stable readings; bulkier and thirstier than PMS5003 but proven by tens of thousands of citizen nodes.</t>
        </is>
      </c>
    </row>
    <row r="571" outlineLevel="1" ht="17" customHeight="1">
      <c r="A571" s="45" t="inlineStr">
        <is>
          <t>COMMON</t>
        </is>
      </c>
      <c r="B571" s="46" t="inlineStr">
        <is>
          <t>Citizen air networks, balcony nodes, smoke-season dashboards.</t>
        </is>
      </c>
    </row>
    <row r="572" outlineLevel="1" ht="23" customHeight="1">
      <c r="A572" s="45" t="inlineStr">
        <is>
          <t>INVENTION</t>
        </is>
      </c>
      <c r="B572" s="48" t="inlineStr">
        <is>
          <t>Join sensor.community: your balcony node becomes a public data point in the world's largest open AQ network — instant global relevance.</t>
        </is>
      </c>
    </row>
    <row r="573" outlineLevel="1" ht="16" customHeight="1">
      <c r="A573" s="45" t="inlineStr">
        <is>
          <t>PAIRS</t>
        </is>
      </c>
      <c r="B573" s="46" t="inlineStr">
        <is>
          <t>ESP32 + SHT31 weatherproof = standard community node</t>
        </is>
      </c>
    </row>
    <row r="574" outlineLevel="1" ht="16" customHeight="1">
      <c r="A574" s="45" t="inlineStr">
        <is>
          <t>KEY</t>
        </is>
      </c>
      <c r="B574" s="46" t="inlineStr">
        <is>
          <t>0-999µg/m³, ±15%; duty-cycle fan to extend laser life</t>
        </is>
      </c>
    </row>
    <row r="575" outlineLevel="1" ht="16" customHeight="1">
      <c r="A575" s="45" t="inlineStr">
        <is>
          <t>buy</t>
        </is>
      </c>
      <c r="B575" s="49" t="inlineStr">
        <is>
          <t>AE · AMZ   |   boards: Bare unit with USB-serial adapter often bundled   |   lib: SDS011 libs, Sensor.Community firmware   [High]</t>
        </is>
      </c>
    </row>
    <row r="577" ht="22" customHeight="1">
      <c r="A577" s="54" t="inlineStr">
        <is>
          <t>S043</t>
        </is>
      </c>
      <c r="B577" s="55" t="inlineStr">
        <is>
          <t>Ikea VINDRIKTNING hack   ·   VINDRIKTNING + PM1006</t>
        </is>
      </c>
    </row>
    <row r="578" outlineLevel="1" ht="15" customHeight="1">
      <c r="A578" s="45" t="inlineStr">
        <is>
          <t>Category</t>
        </is>
      </c>
      <c r="B578" s="12" t="inlineStr">
        <is>
          <t>Particulate › Hackable consumer</t>
        </is>
      </c>
      <c r="E578" s="45" t="inlineStr">
        <is>
          <t>Measures</t>
        </is>
      </c>
      <c r="F578" s="12" t="inlineStr">
        <is>
          <t>PM2.5 (coarse 3-LED indication, hackable to data)</t>
        </is>
      </c>
    </row>
    <row r="579" outlineLevel="1" ht="15" customHeight="1">
      <c r="A579" s="45" t="inlineStr">
        <is>
          <t>Modality</t>
        </is>
      </c>
      <c r="B579" s="12" t="inlineStr">
        <is>
          <t>—</t>
        </is>
      </c>
      <c r="E579" s="45" t="inlineStr">
        <is>
          <t>Interface</t>
        </is>
      </c>
      <c r="F579" s="12" t="inlineStr">
        <is>
          <t>UART</t>
        </is>
      </c>
    </row>
    <row r="580" outlineLevel="1" ht="15" customHeight="1">
      <c r="A580" s="45" t="inlineStr">
        <is>
          <t>Supply</t>
        </is>
      </c>
      <c r="B580" s="12" t="inlineStr">
        <is>
          <t>5V USB-C</t>
        </is>
      </c>
      <c r="E580" s="45" t="inlineStr">
        <is>
          <t>Price</t>
        </is>
      </c>
      <c r="F580" s="12" t="inlineStr">
        <is>
          <t>$13  ($$)</t>
        </is>
      </c>
    </row>
    <row r="581" outlineLevel="1" ht="15" customHeight="1">
      <c r="A581" s="45" t="inlineStr">
        <is>
          <t>Difficulty</t>
        </is>
      </c>
      <c r="B581" s="12" t="inlineStr">
        <is>
          <t>2 — Easy — breadboard wiring, a well-documented library, no analog thought needed</t>
        </is>
      </c>
    </row>
    <row r="582" outlineLevel="1" ht="23" customHeight="1">
      <c r="A582" s="45" t="inlineStr">
        <is>
          <t>HOW</t>
        </is>
      </c>
      <c r="B582" s="46" t="inlineStr">
        <is>
          <t>A $13 Ikea air indicator with a Cubic PM1006 sensor inside; solder 3 wires to its UART and an ESP32 reads the raw data the LEDs only hint at.</t>
        </is>
      </c>
    </row>
    <row r="583" outlineLevel="1" ht="19" customHeight="1">
      <c r="A583" s="45" t="inlineStr">
        <is>
          <t>COMMON</t>
        </is>
      </c>
      <c r="B583" s="46" t="inlineStr">
        <is>
          <t>Stealthy smart-home PM nodes that look like furniture, beginner soldering-hack project.</t>
        </is>
      </c>
    </row>
    <row r="584" outlineLevel="1" ht="23" customHeight="1">
      <c r="A584" s="45" t="inlineStr">
        <is>
          <t>INVENTION</t>
        </is>
      </c>
      <c r="B584" s="48" t="inlineStr">
        <is>
          <t>The gateway drug of hardware hacking: visible proof that consumer gadgets are just sensors + microcontrollers you're allowed to liberate.</t>
        </is>
      </c>
    </row>
    <row r="585" outlineLevel="1" ht="15" customHeight="1">
      <c r="A585" s="45" t="inlineStr">
        <is>
          <t>PAIRS</t>
        </is>
      </c>
      <c r="B585" s="46" t="inlineStr">
        <is>
          <t>ESPHome + Home Assistant in one evening</t>
        </is>
      </c>
    </row>
    <row r="586" outlineLevel="1" ht="15" customHeight="1">
      <c r="A586" s="45" t="inlineStr">
        <is>
          <t>KEY</t>
        </is>
      </c>
      <c r="B586" s="46" t="inlineStr">
        <is>
          <t>PM2.5 only; great enclosure + fan included</t>
        </is>
      </c>
    </row>
    <row r="587" outlineLevel="1" ht="16" customHeight="1">
      <c r="A587" s="45" t="inlineStr">
        <is>
          <t>buy</t>
        </is>
      </c>
      <c r="B587" s="49" t="inlineStr">
        <is>
          <t>IK   |   boards: Stock Ikea unit + ESP32-C3 inside the case   |   lib: Many ESPHome configs published   [High]</t>
        </is>
      </c>
    </row>
    <row r="589" ht="22" customHeight="1">
      <c r="A589" s="60" t="inlineStr">
        <is>
          <t>S044</t>
        </is>
      </c>
      <c r="B589" s="61" t="inlineStr">
        <is>
          <t>BH1750 lux sensor   ·   BH1750FVI</t>
        </is>
      </c>
    </row>
    <row r="590" outlineLevel="1" ht="15" customHeight="1">
      <c r="A590" s="45" t="inlineStr">
        <is>
          <t>Category</t>
        </is>
      </c>
      <c r="B590" s="12" t="inlineStr">
        <is>
          <t>Light &amp; UV › Ambient lux</t>
        </is>
      </c>
      <c r="E590" s="45" t="inlineStr">
        <is>
          <t>Measures</t>
        </is>
      </c>
      <c r="F590" s="12" t="inlineStr">
        <is>
          <t>Illuminance 1-65535 lux, human-eye weighted</t>
        </is>
      </c>
    </row>
    <row r="591" outlineLevel="1" ht="15" customHeight="1">
      <c r="A591" s="45" t="inlineStr">
        <is>
          <t>Modality</t>
        </is>
      </c>
      <c r="B591" s="12" t="inlineStr">
        <is>
          <t>Optical</t>
        </is>
      </c>
      <c r="E591" s="45" t="inlineStr">
        <is>
          <t>Interface</t>
        </is>
      </c>
      <c r="F591" s="12" t="inlineStr">
        <is>
          <t>I2C</t>
        </is>
      </c>
    </row>
    <row r="592" outlineLevel="1" ht="15" customHeight="1">
      <c r="A592" s="45" t="inlineStr">
        <is>
          <t>Supply</t>
        </is>
      </c>
      <c r="B592" s="12" t="inlineStr">
        <is>
          <t>2.4-3.6V</t>
        </is>
      </c>
      <c r="E592" s="45" t="inlineStr">
        <is>
          <t>Price</t>
        </is>
      </c>
      <c r="F592" s="12" t="inlineStr">
        <is>
          <t>$2.5  ($)</t>
        </is>
      </c>
    </row>
    <row r="593" outlineLevel="1" ht="15" customHeight="1">
      <c r="A593" s="45" t="inlineStr">
        <is>
          <t>Difficulty</t>
        </is>
      </c>
      <c r="B593" s="12" t="inlineStr">
        <is>
          <t>1 — Plug and play — Qwiic/STEMMA cable or 3 wires, library example works first time</t>
        </is>
      </c>
    </row>
    <row r="594" outlineLevel="1" ht="23" customHeight="1">
      <c r="A594" s="45" t="inlineStr">
        <is>
          <t>HOW</t>
        </is>
      </c>
      <c r="B594" s="46" t="inlineStr">
        <is>
          <t>A photodiode filtered to match human eye sensitivity, with onboard ADC delivering calibrated lux directly over I2C — no math, no calibration.</t>
        </is>
      </c>
    </row>
    <row r="595" outlineLevel="1" ht="41" customHeight="1">
      <c r="A595" s="45" t="inlineStr">
        <is>
          <t>WHAT</t>
        </is>
      </c>
      <c r="B595" s="47" t="inlineStr">
        <is>
          <t>Its spectral response only approximates the human eye, so LED and fluorescent sources read differently from daylight at the same perceived brightness — never compare lux across light types. It saturates in direct sun. Any window, diffuser or enclosure lid in front of it changes the calibration, so measure through whatever you intend to deploy with.</t>
        </is>
      </c>
    </row>
    <row r="596" outlineLevel="1" ht="20" customHeight="1">
      <c r="A596" s="45" t="inlineStr">
        <is>
          <t>COMMON</t>
        </is>
      </c>
      <c r="B596" s="46" t="inlineStr">
        <is>
          <t>Auto-brightness, daylight harvesting blinds, grow-light verification, street-light fault detection.</t>
        </is>
      </c>
    </row>
    <row r="597" outlineLevel="1" ht="22" customHeight="1">
      <c r="A597" s="45" t="inlineStr">
        <is>
          <t>INVENTION</t>
        </is>
      </c>
      <c r="B597" s="48" t="inlineStr">
        <is>
          <t>Map your home's natural light in lux-hours per windowsill across a season — data-driven answer to 'where should this plant live?'</t>
        </is>
      </c>
    </row>
    <row r="598" outlineLevel="1" ht="19" customHeight="1">
      <c r="A598" s="45" t="inlineStr">
        <is>
          <t>SUBSTITUT</t>
        </is>
      </c>
      <c r="B598" s="46" t="inlineStr">
        <is>
          <t>Wider range and better low light: VEML7700. Extreme range: TSL2591. Colour-accurate: OPT4048.</t>
        </is>
      </c>
    </row>
    <row r="599" outlineLevel="1" ht="16" customHeight="1">
      <c r="A599" s="45" t="inlineStr">
        <is>
          <t>PAIRS</t>
        </is>
      </c>
      <c r="B599" s="46" t="inlineStr">
        <is>
          <t>Servo blinds, RTC for daily light integrals, SD logging</t>
        </is>
      </c>
    </row>
    <row r="600" outlineLevel="1" ht="15" customHeight="1">
      <c r="A600" s="45" t="inlineStr">
        <is>
          <t>KEY</t>
        </is>
      </c>
      <c r="B600" s="46" t="inlineStr">
        <is>
          <t>1 lux resolution, 16-bit</t>
        </is>
      </c>
    </row>
    <row r="601" outlineLevel="1" ht="24" customHeight="1">
      <c r="A601" s="45" t="inlineStr">
        <is>
          <t>specs</t>
        </is>
      </c>
      <c r="B601" s="49" t="inlineStr">
        <is>
          <t>Range: 1-65535 lux   Accuracy: ±20%   Resolution: 1 lux   I2C addr: 0x23 (0x5C with ADDR high)   Calibration: None   Environment: Indoor   Lifecycle: Active   Maturity: Excellent   ESP32: Any variant</t>
        </is>
      </c>
    </row>
    <row r="602" outlineLevel="1" ht="16" customHeight="1">
      <c r="A602" s="45" t="inlineStr">
        <is>
          <t>buy</t>
        </is>
      </c>
      <c r="B602" s="49" t="inlineStr">
        <is>
          <t>AE · AMZ · DFR · CE   |   boards: GY-302 module   |   lib: BH1750 (claws), hp_BH1750   [High, 2026-07]</t>
        </is>
      </c>
    </row>
    <row r="603" outlineLevel="1" ht="30" customHeight="1">
      <c r="A603" s="50" t="inlineStr">
        <is>
          <t>unlocks</t>
        </is>
      </c>
      <c r="B603" s="51" t="inlineStr">
        <is>
          <t>Has this plant had enough light today?  •  Is the sky clear or clouded?  •  Did someone leave it switched on?</t>
        </is>
      </c>
    </row>
    <row r="605" ht="22" customHeight="1">
      <c r="A605" s="54" t="inlineStr">
        <is>
          <t>S045</t>
        </is>
      </c>
      <c r="B605" s="55" t="inlineStr">
        <is>
          <t>VEML7700 high-accuracy lux   ·   VEML7700</t>
        </is>
      </c>
    </row>
    <row r="606" outlineLevel="1" ht="15" customHeight="1">
      <c r="A606" s="45" t="inlineStr">
        <is>
          <t>Category</t>
        </is>
      </c>
      <c r="B606" s="12" t="inlineStr">
        <is>
          <t>Light &amp; UV › Ambient lux</t>
        </is>
      </c>
      <c r="E606" s="45" t="inlineStr">
        <is>
          <t>Measures</t>
        </is>
      </c>
      <c r="F606" s="12" t="inlineStr">
        <is>
          <t>0.0042 to 120k lux (moonlight to direct sun)</t>
        </is>
      </c>
    </row>
    <row r="607" outlineLevel="1" ht="15" customHeight="1">
      <c r="A607" s="45" t="inlineStr">
        <is>
          <t>Modality</t>
        </is>
      </c>
      <c r="B607" s="12" t="inlineStr">
        <is>
          <t>—</t>
        </is>
      </c>
      <c r="E607" s="45" t="inlineStr">
        <is>
          <t>Interface</t>
        </is>
      </c>
      <c r="F607" s="12" t="inlineStr">
        <is>
          <t>I2C</t>
        </is>
      </c>
    </row>
    <row r="608" outlineLevel="1" ht="15" customHeight="1">
      <c r="A608" s="45" t="inlineStr">
        <is>
          <t>Supply</t>
        </is>
      </c>
      <c r="B608" s="12" t="inlineStr">
        <is>
          <t>2.5-3.6V</t>
        </is>
      </c>
      <c r="E608" s="45" t="inlineStr">
        <is>
          <t>Price</t>
        </is>
      </c>
      <c r="F608" s="12" t="inlineStr">
        <is>
          <t>$5  ($$)</t>
        </is>
      </c>
    </row>
    <row r="609" outlineLevel="1" ht="15" customHeight="1">
      <c r="A609" s="45" t="inlineStr">
        <is>
          <t>Difficulty</t>
        </is>
      </c>
      <c r="B609" s="12" t="inlineStr">
        <is>
          <t>1 — Plug and play — Qwiic/STEMMA cable or 3 wires, library example works first time</t>
        </is>
      </c>
    </row>
    <row r="610" outlineLevel="1" ht="22" customHeight="1">
      <c r="A610" s="45" t="inlineStr">
        <is>
          <t>HOW</t>
        </is>
      </c>
      <c r="B610" s="46" t="inlineStr">
        <is>
          <t>Vishay's filtered photodiode with huge dynamic range — reads accurately from moonless night to noon sun without changing hardware.</t>
        </is>
      </c>
    </row>
    <row r="611" outlineLevel="1" ht="21" customHeight="1">
      <c r="A611" s="45" t="inlineStr">
        <is>
          <t>COMMON</t>
        </is>
      </c>
      <c r="B611" s="46" t="inlineStr">
        <is>
          <t>Twilight-aware lighting, photography light meters, circadian lighting controllers, observatory sky monitors.</t>
        </is>
      </c>
    </row>
    <row r="612" outlineLevel="1" ht="22" customHeight="1">
      <c r="A612" s="45" t="inlineStr">
        <is>
          <t>INVENTION</t>
        </is>
      </c>
      <c r="B612" s="48" t="inlineStr">
        <is>
          <t>A 'sleep hygiene auditor' on your nightstand: logs lux through the night and correlates with your wearable's sleep stages.</t>
        </is>
      </c>
    </row>
    <row r="613" outlineLevel="1" ht="16" customHeight="1">
      <c r="A613" s="45" t="inlineStr">
        <is>
          <t>PAIRS</t>
        </is>
      </c>
      <c r="B613" s="46" t="inlineStr">
        <is>
          <t>RTC + SD, circadian LED strips (PWM CCT control)</t>
        </is>
      </c>
    </row>
    <row r="614" outlineLevel="1" ht="15" customHeight="1">
      <c r="A614" s="45" t="inlineStr">
        <is>
          <t>KEY</t>
        </is>
      </c>
      <c r="B614" s="46" t="inlineStr">
        <is>
          <t>16-bit, ±10%, exceptional low-light floor</t>
        </is>
      </c>
    </row>
    <row r="615" outlineLevel="1" ht="16" customHeight="1">
      <c r="A615" s="45" t="inlineStr">
        <is>
          <t>buy</t>
        </is>
      </c>
      <c r="B615" s="49" t="inlineStr">
        <is>
          <t>AF · SF · DK · MO   |   boards: Adafruit 4162 STEMMA QT   |   lib: Adafruit_VEML7700   [High]</t>
        </is>
      </c>
    </row>
    <row r="617" ht="22" customHeight="1">
      <c r="A617" s="54" t="inlineStr">
        <is>
          <t>S046</t>
        </is>
      </c>
      <c r="B617" s="55" t="inlineStr">
        <is>
          <t>LTR-390 UV + ambient   ·   LTR-390-UV</t>
        </is>
      </c>
    </row>
    <row r="618" outlineLevel="1" ht="15" customHeight="1">
      <c r="A618" s="45" t="inlineStr">
        <is>
          <t>Category</t>
        </is>
      </c>
      <c r="B618" s="12" t="inlineStr">
        <is>
          <t>Light &amp; UV › UV index</t>
        </is>
      </c>
      <c r="E618" s="45" t="inlineStr">
        <is>
          <t>Measures</t>
        </is>
      </c>
      <c r="F618" s="12" t="inlineStr">
        <is>
          <t>UV-A intensity + UV index + ambient light</t>
        </is>
      </c>
    </row>
    <row r="619" outlineLevel="1" ht="15" customHeight="1">
      <c r="A619" s="45" t="inlineStr">
        <is>
          <t>Modality</t>
        </is>
      </c>
      <c r="B619" s="12" t="inlineStr">
        <is>
          <t>—</t>
        </is>
      </c>
      <c r="E619" s="45" t="inlineStr">
        <is>
          <t>Interface</t>
        </is>
      </c>
      <c r="F619" s="12" t="inlineStr">
        <is>
          <t>I2C</t>
        </is>
      </c>
    </row>
    <row r="620" outlineLevel="1" ht="15" customHeight="1">
      <c r="A620" s="45" t="inlineStr">
        <is>
          <t>Supply</t>
        </is>
      </c>
      <c r="B620" s="12" t="inlineStr">
        <is>
          <t>1.7-3.6V</t>
        </is>
      </c>
      <c r="E620" s="45" t="inlineStr">
        <is>
          <t>Price</t>
        </is>
      </c>
      <c r="F620" s="12" t="inlineStr">
        <is>
          <t>$5  ($$)</t>
        </is>
      </c>
    </row>
    <row r="621" outlineLevel="1" ht="15" customHeight="1">
      <c r="A621" s="45" t="inlineStr">
        <is>
          <t>Difficulty</t>
        </is>
      </c>
      <c r="B621" s="12" t="inlineStr">
        <is>
          <t>1 — Plug and play — Qwiic/STEMMA cable or 3 wires, library example works first time</t>
        </is>
      </c>
    </row>
    <row r="622" outlineLevel="1" ht="37" customHeight="1">
      <c r="A622" s="45" t="inlineStr">
        <is>
          <t>HOW</t>
        </is>
      </c>
      <c r="B622" s="46" t="inlineStr">
        <is>
          <t>Two photodiodes — one filtered to UV-A — give a UV-A irradiance count plus lux from the same chip. Note: the library's 'UV index' is an APPROXIMATION. True UVI is erythemally weighted and dominated by UV-B, which this part cannot see. Excellent for relative dose tracking; not a substitute for a UVI instrument.</t>
        </is>
      </c>
    </row>
    <row r="623" outlineLevel="1" ht="20" customHeight="1">
      <c r="A623" s="45" t="inlineStr">
        <is>
          <t>COMMON</t>
        </is>
      </c>
      <c r="B623" s="46" t="inlineStr">
        <is>
          <t>Sunburn-warning wearables, UV exposure dosimetry, sterilization-lamp verification, reptile UVB checks.</t>
        </is>
      </c>
    </row>
    <row r="624" outlineLevel="1" ht="22" customHeight="1">
      <c r="A624" s="45" t="inlineStr">
        <is>
          <t>INVENTION</t>
        </is>
      </c>
      <c r="B624" s="48" t="inlineStr">
        <is>
          <t>A clip-on kids' sunscreen timer: accumulates actual UV dose and chimes when it's reapplication time — personalised by skin type.</t>
        </is>
      </c>
    </row>
    <row r="625" outlineLevel="1" ht="15" customHeight="1">
      <c r="A625" s="45" t="inlineStr">
        <is>
          <t>PAIRS</t>
        </is>
      </c>
      <c r="B625" s="46" t="inlineStr">
        <is>
          <t>Haptic buzzer, ePaper badge, small LiPo</t>
        </is>
      </c>
    </row>
    <row r="626" outlineLevel="1" ht="15" customHeight="1">
      <c r="A626" s="45" t="inlineStr">
        <is>
          <t>KEY</t>
        </is>
      </c>
      <c r="B626" s="46" t="inlineStr">
        <is>
          <t>UVI + lux, 18-bit</t>
        </is>
      </c>
    </row>
    <row r="627" outlineLevel="1" ht="16" customHeight="1">
      <c r="A627" s="45" t="inlineStr">
        <is>
          <t>buy</t>
        </is>
      </c>
      <c r="B627" s="49" t="inlineStr">
        <is>
          <t>AF · DK · MO   |   boards: Adafruit 4831   |   lib: Adafruit_LTR390   [High]</t>
        </is>
      </c>
    </row>
    <row r="629" ht="22" customHeight="1">
      <c r="A629" s="54" t="inlineStr">
        <is>
          <t>S047</t>
        </is>
      </c>
      <c r="B629" s="55" t="inlineStr">
        <is>
          <t>GUVA-S12SD UV analog   ·   GUVA-S12SD</t>
        </is>
      </c>
    </row>
    <row r="630" outlineLevel="1" ht="15" customHeight="1">
      <c r="A630" s="45" t="inlineStr">
        <is>
          <t>Category</t>
        </is>
      </c>
      <c r="B630" s="12" t="inlineStr">
        <is>
          <t>Light &amp; UV › UV index</t>
        </is>
      </c>
      <c r="E630" s="45" t="inlineStr">
        <is>
          <t>Measures</t>
        </is>
      </c>
      <c r="F630" s="12" t="inlineStr">
        <is>
          <t>UV-A/B 240-370nm as analog voltage</t>
        </is>
      </c>
    </row>
    <row r="631" outlineLevel="1" ht="15" customHeight="1">
      <c r="A631" s="45" t="inlineStr">
        <is>
          <t>Modality</t>
        </is>
      </c>
      <c r="B631" s="12" t="inlineStr">
        <is>
          <t>—</t>
        </is>
      </c>
      <c r="E631" s="45" t="inlineStr">
        <is>
          <t>Interface</t>
        </is>
      </c>
      <c r="F631" s="12" t="inlineStr">
        <is>
          <t>Analog</t>
        </is>
      </c>
    </row>
    <row r="632" outlineLevel="1" ht="15" customHeight="1">
      <c r="A632" s="45" t="inlineStr">
        <is>
          <t>Supply</t>
        </is>
      </c>
      <c r="B632" s="12" t="inlineStr">
        <is>
          <t>3.3-5V</t>
        </is>
      </c>
      <c r="E632" s="45" t="inlineStr">
        <is>
          <t>Price</t>
        </is>
      </c>
      <c r="F632" s="12" t="inlineStr">
        <is>
          <t>$4  ($)</t>
        </is>
      </c>
    </row>
    <row r="633" outlineLevel="1" ht="15" customHeight="1">
      <c r="A633" s="45" t="inlineStr">
        <is>
          <t>Difficulty</t>
        </is>
      </c>
      <c r="B633" s="12" t="inlineStr">
        <is>
          <t>1 — Plug and play — Qwiic/STEMMA cable or 3 wires, library example works first time</t>
        </is>
      </c>
    </row>
    <row r="634" outlineLevel="1" ht="22" customHeight="1">
      <c r="A634" s="45" t="inlineStr">
        <is>
          <t>HOW</t>
        </is>
      </c>
      <c r="B634" s="46" t="inlineStr">
        <is>
          <t>A gallium-nitride photodiode that only responds to UV; output voltage maps near-linearly to UV index with a simple divide.</t>
        </is>
      </c>
    </row>
    <row r="635" outlineLevel="1" ht="18" customHeight="1">
      <c r="A635" s="45" t="inlineStr">
        <is>
          <t>COMMON</t>
        </is>
      </c>
      <c r="B635" s="46" t="inlineStr">
        <is>
          <t>Cheap UV index displays, UV curing-box verification, flame-adjacent UV detection.</t>
        </is>
      </c>
    </row>
    <row r="636" outlineLevel="1" ht="20" customHeight="1">
      <c r="A636" s="45" t="inlineStr">
        <is>
          <t>INVENTION</t>
        </is>
      </c>
      <c r="B636" s="48" t="inlineStr">
        <is>
          <t>Verify your resin-printer curing station actually emits enough UV — and log LED degradation over months.</t>
        </is>
      </c>
    </row>
    <row r="637" outlineLevel="1" ht="15" customHeight="1">
      <c r="A637" s="45" t="inlineStr">
        <is>
          <t>PAIRS</t>
        </is>
      </c>
      <c r="B637" s="46" t="inlineStr">
        <is>
          <t>ADC + OLED, relay for cure-timer automation</t>
        </is>
      </c>
    </row>
    <row r="638" outlineLevel="1" ht="15" customHeight="1">
      <c r="A638" s="45" t="inlineStr">
        <is>
          <t>KEY</t>
        </is>
      </c>
      <c r="B638" s="46" t="inlineStr">
        <is>
          <t>UVI ≈ Vout/0.1, crude but useful</t>
        </is>
      </c>
    </row>
    <row r="639" outlineLevel="1" ht="16" customHeight="1">
      <c r="A639" s="45" t="inlineStr">
        <is>
          <t>buy</t>
        </is>
      </c>
      <c r="B639" s="49" t="inlineStr">
        <is>
          <t>AE · AMZ · DFR   |   boards: GUVA breakout (3 pins)   |   lib: analogRead   [High]</t>
        </is>
      </c>
    </row>
    <row r="641" ht="22" customHeight="1">
      <c r="A641" s="54" t="inlineStr">
        <is>
          <t>S048</t>
        </is>
      </c>
      <c r="B641" s="55" t="inlineStr">
        <is>
          <t>TSL2591 high dynamic lux   ·   TSL2591</t>
        </is>
      </c>
    </row>
    <row r="642" outlineLevel="1" ht="15" customHeight="1">
      <c r="A642" s="45" t="inlineStr">
        <is>
          <t>Category</t>
        </is>
      </c>
      <c r="B642" s="12" t="inlineStr">
        <is>
          <t>Light &amp; UV › Ambient lux</t>
        </is>
      </c>
      <c r="E642" s="45" t="inlineStr">
        <is>
          <t>Measures</t>
        </is>
      </c>
      <c r="F642" s="12" t="inlineStr">
        <is>
          <t>188 µlux to 88k lux — extreme sensitivity</t>
        </is>
      </c>
    </row>
    <row r="643" outlineLevel="1" ht="15" customHeight="1">
      <c r="A643" s="45" t="inlineStr">
        <is>
          <t>Modality</t>
        </is>
      </c>
      <c r="B643" s="12" t="inlineStr">
        <is>
          <t>—</t>
        </is>
      </c>
      <c r="E643" s="45" t="inlineStr">
        <is>
          <t>Interface</t>
        </is>
      </c>
      <c r="F643" s="12" t="inlineStr">
        <is>
          <t>I2C</t>
        </is>
      </c>
    </row>
    <row r="644" outlineLevel="1" ht="15" customHeight="1">
      <c r="A644" s="45" t="inlineStr">
        <is>
          <t>Supply</t>
        </is>
      </c>
      <c r="B644" s="12" t="inlineStr">
        <is>
          <t>3.3-5V (board)</t>
        </is>
      </c>
      <c r="E644" s="45" t="inlineStr">
        <is>
          <t>Price</t>
        </is>
      </c>
      <c r="F644" s="12" t="inlineStr">
        <is>
          <t>$7  ($$)</t>
        </is>
      </c>
    </row>
    <row r="645" outlineLevel="1" ht="15" customHeight="1">
      <c r="A645" s="45" t="inlineStr">
        <is>
          <t>Difficulty</t>
        </is>
      </c>
      <c r="B645" s="12" t="inlineStr">
        <is>
          <t>1 — Plug and play — Qwiic/STEMMA cable or 3 wires, library example works first time</t>
        </is>
      </c>
    </row>
    <row r="646" outlineLevel="1" ht="21" customHeight="1">
      <c r="A646" s="45" t="inlineStr">
        <is>
          <t>HOW</t>
        </is>
      </c>
      <c r="B646" s="46" t="inlineStr">
        <is>
          <t>Dual diodes (full spectrum + IR-only) let you subtract infrared contamination; the 600M:1 dynamic range sees starlight.</t>
        </is>
      </c>
    </row>
    <row r="647" outlineLevel="1" ht="19" customHeight="1">
      <c r="A647" s="45" t="inlineStr">
        <is>
          <t>COMMON</t>
        </is>
      </c>
      <c r="B647" s="46" t="inlineStr">
        <is>
          <t>Sky quality meters (light pollution), bioluminescence experiments, darkroom monitors.</t>
        </is>
      </c>
    </row>
    <row r="648" outlineLevel="1" ht="22" customHeight="1">
      <c r="A648" s="45" t="inlineStr">
        <is>
          <t>INVENTION</t>
        </is>
      </c>
      <c r="B648" s="48" t="inlineStr">
        <is>
          <t>A citizen light-pollution observatory: nightly zenith brightness uploaded to a map — pair with cloud detection (MLX90614 sky temp).</t>
        </is>
      </c>
    </row>
    <row r="649" outlineLevel="1" ht="16" customHeight="1">
      <c r="A649" s="45" t="inlineStr">
        <is>
          <t>PAIRS</t>
        </is>
      </c>
      <c r="B649" s="46" t="inlineStr">
        <is>
          <t>MLX90614 (cloud sensing), GPS, LoRa for dark-sky sites</t>
        </is>
      </c>
    </row>
    <row r="650" outlineLevel="1" ht="15" customHeight="1">
      <c r="A650" s="45" t="inlineStr">
        <is>
          <t>KEY</t>
        </is>
      </c>
      <c r="B650" s="46" t="inlineStr">
        <is>
          <t>600,000,000:1 range, IR + visible channels</t>
        </is>
      </c>
    </row>
    <row r="651" outlineLevel="1" ht="16" customHeight="1">
      <c r="A651" s="45" t="inlineStr">
        <is>
          <t>buy</t>
        </is>
      </c>
      <c r="B651" s="49" t="inlineStr">
        <is>
          <t>AF · DK · MO · CE   |   boards: Adafruit 1980   |   lib: Adafruit_TSL2591   [High]</t>
        </is>
      </c>
    </row>
    <row r="653" ht="22" customHeight="1">
      <c r="A653" s="60" t="inlineStr">
        <is>
          <t>S049</t>
        </is>
      </c>
      <c r="B653" s="61" t="inlineStr">
        <is>
          <t>Photoresistor (LDR)   ·   GL5528</t>
        </is>
      </c>
    </row>
    <row r="654" outlineLevel="1" ht="15" customHeight="1">
      <c r="A654" s="45" t="inlineStr">
        <is>
          <t>Category</t>
        </is>
      </c>
      <c r="B654" s="12" t="inlineStr">
        <is>
          <t>Light &amp; UV › Analog (cheapest)</t>
        </is>
      </c>
      <c r="E654" s="45" t="inlineStr">
        <is>
          <t>Measures</t>
        </is>
      </c>
      <c r="F654" s="12" t="inlineStr">
        <is>
          <t>Light level (relative)</t>
        </is>
      </c>
    </row>
    <row r="655" outlineLevel="1" ht="15" customHeight="1">
      <c r="A655" s="45" t="inlineStr">
        <is>
          <t>Modality</t>
        </is>
      </c>
      <c r="B655" s="12" t="inlineStr">
        <is>
          <t>Optical</t>
        </is>
      </c>
      <c r="E655" s="45" t="inlineStr">
        <is>
          <t>Interface</t>
        </is>
      </c>
      <c r="F655" s="12" t="inlineStr">
        <is>
          <t>Analog</t>
        </is>
      </c>
    </row>
    <row r="656" outlineLevel="1" ht="15" customHeight="1">
      <c r="A656" s="45" t="inlineStr">
        <is>
          <t>Supply</t>
        </is>
      </c>
      <c r="B656" s="12" t="inlineStr">
        <is>
          <t>any</t>
        </is>
      </c>
      <c r="E656" s="45" t="inlineStr">
        <is>
          <t>Price</t>
        </is>
      </c>
      <c r="F656" s="12" t="inlineStr">
        <is>
          <t>$0.2  ($)</t>
        </is>
      </c>
    </row>
    <row r="657" outlineLevel="1" ht="15" customHeight="1">
      <c r="A657" s="45" t="inlineStr">
        <is>
          <t>Difficulty</t>
        </is>
      </c>
      <c r="B657" s="12" t="inlineStr">
        <is>
          <t>1 — Plug and play — Qwiic/STEMMA cable or 3 wires, library example works first time</t>
        </is>
      </c>
    </row>
    <row r="658" outlineLevel="1" ht="24" customHeight="1">
      <c r="A658" s="45" t="inlineStr">
        <is>
          <t>HOW</t>
        </is>
      </c>
      <c r="B658" s="46" t="inlineStr">
        <is>
          <t>Cadmium-sulfide cell whose resistance falls with light; with a fixed resistor it makes a voltage divider any ADC can read. Slow, imprecise, unkillable.</t>
        </is>
      </c>
    </row>
    <row r="659" outlineLevel="1" ht="44" customHeight="1">
      <c r="A659" s="45" t="inlineStr">
        <is>
          <t>WHAT</t>
        </is>
      </c>
      <c r="B659" s="47" t="inlineStr">
        <is>
          <t>Response is slow and asymmetric — it takes far longer to recover from bright light than to respond to it, which ruins fast beam-break applications. Every cell differs by tens of percent, so units are not interchangeable without individual calibration. Strong temperature dependence. Cadmium sulfide is RoHS-restricted, so this is a prototype and education part rather than a product part.</t>
        </is>
      </c>
    </row>
    <row r="660" outlineLevel="1" ht="19" customHeight="1">
      <c r="A660" s="45" t="inlineStr">
        <is>
          <t>COMMON</t>
        </is>
      </c>
      <c r="B660" s="46" t="inlineStr">
        <is>
          <t>Nightlights, laser tripwires, line-following robots' floor contrast, sunrise alarms.</t>
        </is>
      </c>
    </row>
    <row r="661" outlineLevel="1" ht="21" customHeight="1">
      <c r="A661" s="45" t="inlineStr">
        <is>
          <t>INVENTION</t>
        </is>
      </c>
      <c r="B661" s="48" t="inlineStr">
        <is>
          <t>A laser-harp or tripwire array: 8 LDRs + 8 laser pointers = musical instrument or perimeter game for under $15.</t>
        </is>
      </c>
    </row>
    <row r="662" outlineLevel="1" ht="18" customHeight="1">
      <c r="A662" s="45" t="inlineStr">
        <is>
          <t>SUBSTITUT</t>
        </is>
      </c>
      <c r="B662" s="46" t="inlineStr">
        <is>
          <t>Fast beam-break: photo-interrupter or phototransistor. Calibrated: BH1750.</t>
        </is>
      </c>
    </row>
    <row r="663" outlineLevel="1" ht="15" customHeight="1">
      <c r="A663" s="45" t="inlineStr">
        <is>
          <t>PAIRS</t>
        </is>
      </c>
      <c r="B663" s="46" t="inlineStr">
        <is>
          <t>Laser diodes, buzzer/DAC for sound output</t>
        </is>
      </c>
    </row>
    <row r="664" outlineLevel="1" ht="24" customHeight="1">
      <c r="A664" s="45" t="inlineStr">
        <is>
          <t>KEY</t>
        </is>
      </c>
      <c r="B664" s="46" t="inlineStr">
        <is>
          <t>~0.5-2MΩ in darkness, ~8-20kΩ at 10 lux, ~1kΩ in bright sun; pick the divider resistor for YOUR light range. CdS is RoHS-restricted in commercial products</t>
        </is>
      </c>
    </row>
    <row r="665" outlineLevel="1" ht="23" customHeight="1">
      <c r="A665" s="45" t="inlineStr">
        <is>
          <t>specs</t>
        </is>
      </c>
      <c r="B665" s="49" t="inlineStr">
        <is>
          <t>Range: Relative only   Accuracy: Uncalibrated   Rate: Slow — tens of ms to settle   Calibration: Two-point   Environment: Indoor   Lifecycle: Mature   Maturity: Good   ESP32: Use ADC1</t>
        </is>
      </c>
    </row>
    <row r="666" outlineLevel="1" ht="16" customHeight="1">
      <c r="A666" s="45" t="inlineStr">
        <is>
          <t>buy</t>
        </is>
      </c>
      <c r="B666" s="49" t="inlineStr">
        <is>
          <t>AE · AMZ · SF · CE   |   boards: Bare 5mm cells, modules with comparator   |   lib: analogRead   [High, 2026-07]</t>
        </is>
      </c>
    </row>
    <row r="667" outlineLevel="1" ht="30" customHeight="1">
      <c r="A667" s="50" t="inlineStr">
        <is>
          <t>unlocks</t>
        </is>
      </c>
      <c r="B667" s="51" t="inlineStr">
        <is>
          <t>Did someone leave it switched on?  •  Is the thing there?  •  Did something cross this line?</t>
        </is>
      </c>
    </row>
    <row r="669" ht="22" customHeight="1">
      <c r="A669" s="54" t="inlineStr">
        <is>
          <t>S050</t>
        </is>
      </c>
      <c r="B669" s="55" t="inlineStr">
        <is>
          <t>AS7331 spectral UV   ·   AS7331</t>
        </is>
      </c>
    </row>
    <row r="670" outlineLevel="1" ht="15" customHeight="1">
      <c r="A670" s="45" t="inlineStr">
        <is>
          <t>Category</t>
        </is>
      </c>
      <c r="B670" s="12" t="inlineStr">
        <is>
          <t>Light &amp; UV › UV (lab-grade)</t>
        </is>
      </c>
      <c r="E670" s="45" t="inlineStr">
        <is>
          <t>Measures</t>
        </is>
      </c>
      <c r="F670" s="12" t="inlineStr">
        <is>
          <t>UV-A, UV-B and UV-C as separate calibrated channels</t>
        </is>
      </c>
    </row>
    <row r="671" outlineLevel="1" ht="15" customHeight="1">
      <c r="A671" s="45" t="inlineStr">
        <is>
          <t>Modality</t>
        </is>
      </c>
      <c r="B671" s="12" t="inlineStr">
        <is>
          <t>—</t>
        </is>
      </c>
      <c r="E671" s="45" t="inlineStr">
        <is>
          <t>Interface</t>
        </is>
      </c>
      <c r="F671" s="12" t="inlineStr">
        <is>
          <t>I2C</t>
        </is>
      </c>
    </row>
    <row r="672" outlineLevel="1" ht="15" customHeight="1">
      <c r="A672" s="45" t="inlineStr">
        <is>
          <t>Supply</t>
        </is>
      </c>
      <c r="B672" s="12" t="inlineStr">
        <is>
          <t>2.7-3.6V</t>
        </is>
      </c>
      <c r="E672" s="45" t="inlineStr">
        <is>
          <t>Price</t>
        </is>
      </c>
      <c r="F672" s="12" t="inlineStr">
        <is>
          <t>$27.5  ($$$)</t>
        </is>
      </c>
    </row>
    <row r="673" outlineLevel="1" ht="15" customHeight="1">
      <c r="A673" s="45" t="inlineStr">
        <is>
          <t>Difficulty</t>
        </is>
      </c>
      <c r="B673" s="12" t="inlineStr">
        <is>
          <t>2 — Easy — breadboard wiring, a well-documented library, no analog thought needed</t>
        </is>
      </c>
    </row>
    <row r="674" outlineLevel="1" ht="23" customHeight="1">
      <c r="A674" s="45" t="inlineStr">
        <is>
          <t>HOW</t>
        </is>
      </c>
      <c r="B674" s="46" t="inlineStr">
        <is>
          <t>Three filtered photodiodes split the UV band scientifically — the only hobby-priced way to see UV-C (germicidal) separately from sunlight UV.</t>
        </is>
      </c>
    </row>
    <row r="675" outlineLevel="1" ht="18" customHeight="1">
      <c r="A675" s="45" t="inlineStr">
        <is>
          <t>COMMON</t>
        </is>
      </c>
      <c r="B675" s="46" t="inlineStr">
        <is>
          <t>Germicidal lamp dosimetry, UV-C safety interlocks, atmospheric UV-B research.</t>
        </is>
      </c>
    </row>
    <row r="676" outlineLevel="1" ht="23" customHeight="1">
      <c r="A676" s="45" t="inlineStr">
        <is>
          <t>INVENTION</t>
        </is>
      </c>
      <c r="B676" s="48" t="inlineStr">
        <is>
          <t>UV-C disinfection 'proof of dose' logger for shared lab equipment — proves surfaces got their lethal dose, with timestamped receipts.</t>
        </is>
      </c>
    </row>
    <row r="677" outlineLevel="1" ht="15" customHeight="1">
      <c r="A677" s="45" t="inlineStr">
        <is>
          <t>PAIRS</t>
        </is>
      </c>
      <c r="B677" s="46" t="inlineStr">
        <is>
          <t>Door interlock relay, SD audit logs</t>
        </is>
      </c>
    </row>
    <row r="678" outlineLevel="1" ht="20" customHeight="1">
      <c r="A678" s="45" t="inlineStr">
        <is>
          <t>KEY</t>
        </is>
      </c>
      <c r="B678" s="46" t="inlineStr">
        <is>
          <t>Irradiance in µW/cm² per band. Genuinely separates UV-C from sunlight UV, which nothing cheaper does.</t>
        </is>
      </c>
    </row>
    <row r="679" outlineLevel="1" ht="16" customHeight="1">
      <c r="A679" s="45" t="inlineStr">
        <is>
          <t>buy</t>
        </is>
      </c>
      <c r="B679" s="49" t="inlineStr">
        <is>
          <t>SF · DK · MO   |   boards: SparkFun Qwiic AS7331   |   lib: SparkFun AS7331   [High]</t>
        </is>
      </c>
    </row>
    <row r="681" ht="22" customHeight="1">
      <c r="A681" s="54" t="inlineStr">
        <is>
          <t>S051</t>
        </is>
      </c>
      <c r="B681" s="55" t="inlineStr">
        <is>
          <t>TCS34725 RGB color   ·   TCS34725</t>
        </is>
      </c>
    </row>
    <row r="682" outlineLevel="1" ht="15" customHeight="1">
      <c r="A682" s="45" t="inlineStr">
        <is>
          <t>Category</t>
        </is>
      </c>
      <c r="B682" s="12" t="inlineStr">
        <is>
          <t>Colour &amp; Spectral › RGB color</t>
        </is>
      </c>
      <c r="E682" s="45" t="inlineStr">
        <is>
          <t>Measures</t>
        </is>
      </c>
      <c r="F682" s="12" t="inlineStr">
        <is>
          <t>Red/Green/Blue/Clear light + color temperature</t>
        </is>
      </c>
    </row>
    <row r="683" outlineLevel="1" ht="15" customHeight="1">
      <c r="A683" s="45" t="inlineStr">
        <is>
          <t>Modality</t>
        </is>
      </c>
      <c r="B683" s="12" t="inlineStr">
        <is>
          <t>—</t>
        </is>
      </c>
      <c r="E683" s="45" t="inlineStr">
        <is>
          <t>Interface</t>
        </is>
      </c>
      <c r="F683" s="12" t="inlineStr">
        <is>
          <t>I2C</t>
        </is>
      </c>
    </row>
    <row r="684" outlineLevel="1" ht="15" customHeight="1">
      <c r="A684" s="45" t="inlineStr">
        <is>
          <t>Supply</t>
        </is>
      </c>
      <c r="B684" s="12" t="inlineStr">
        <is>
          <t>3.3-5V (board)</t>
        </is>
      </c>
      <c r="E684" s="45" t="inlineStr">
        <is>
          <t>Price</t>
        </is>
      </c>
      <c r="F684" s="12" t="inlineStr">
        <is>
          <t>$7  ($$)</t>
        </is>
      </c>
    </row>
    <row r="685" outlineLevel="1" ht="15" customHeight="1">
      <c r="A685" s="45" t="inlineStr">
        <is>
          <t>Difficulty</t>
        </is>
      </c>
      <c r="B685" s="12" t="inlineStr">
        <is>
          <t>1 — Plug and play — Qwiic/STEMMA cable or 3 wires, library example works first time</t>
        </is>
      </c>
    </row>
    <row r="686" outlineLevel="1" ht="23" customHeight="1">
      <c r="A686" s="45" t="inlineStr">
        <is>
          <t>HOW</t>
        </is>
      </c>
      <c r="B686" s="46" t="inlineStr">
        <is>
          <t>Four filtered photodiode sets behind an IR-blocking glass read true RGB; an onboard white LED illuminates objects for reflective color reading.</t>
        </is>
      </c>
    </row>
    <row r="687" outlineLevel="1" ht="20" customHeight="1">
      <c r="A687" s="45" t="inlineStr">
        <is>
          <t>COMMON</t>
        </is>
      </c>
      <c r="B687" s="46" t="inlineStr">
        <is>
          <t>Color sorting (LEGO/M&amp;Ms/resistors), liquid colorimetry, ambient color-adaptive lighting, paint matching.</t>
        </is>
      </c>
    </row>
    <row r="688" outlineLevel="1" ht="22" customHeight="1">
      <c r="A688" s="45" t="inlineStr">
        <is>
          <t>INVENTION</t>
        </is>
      </c>
      <c r="B688" s="48" t="inlineStr">
        <is>
          <t>A water-test-strip reader: photograph-free colorimetry turns $0.10 aquarium strips into digital pH/nitrate values with history.</t>
        </is>
      </c>
    </row>
    <row r="689" outlineLevel="1" ht="17" customHeight="1">
      <c r="A689" s="45" t="inlineStr">
        <is>
          <t>PAIRS</t>
        </is>
      </c>
      <c r="B689" s="46" t="inlineStr">
        <is>
          <t>Servo sorter chute, white reference tile, peristaltic sampler</t>
        </is>
      </c>
    </row>
    <row r="690" outlineLevel="1" ht="17" customHeight="1">
      <c r="A690" s="45" t="inlineStr">
        <is>
          <t>KEY</t>
        </is>
      </c>
      <c r="B690" s="46" t="inlineStr">
        <is>
          <t>16-bit per channel, IR filter (the differentiator vs clones)</t>
        </is>
      </c>
    </row>
    <row r="691" outlineLevel="1" ht="16" customHeight="1">
      <c r="A691" s="45" t="inlineStr">
        <is>
          <t>buy</t>
        </is>
      </c>
      <c r="B691" s="49" t="inlineStr">
        <is>
          <t>AF · DK · AE · CE   |   boards: Adafruit 1334 (LED + STEMMA QT)   |   lib: Adafruit_TCS34725   [High]</t>
        </is>
      </c>
    </row>
    <row r="693" ht="22" customHeight="1">
      <c r="A693" s="54" t="inlineStr">
        <is>
          <t>S052</t>
        </is>
      </c>
      <c r="B693" s="55" t="inlineStr">
        <is>
          <t>AS7341 11-channel spectral   ·   AS7341</t>
        </is>
      </c>
    </row>
    <row r="694" outlineLevel="1" ht="15" customHeight="1">
      <c r="A694" s="45" t="inlineStr">
        <is>
          <t>Category</t>
        </is>
      </c>
      <c r="B694" s="12" t="inlineStr">
        <is>
          <t>Colour &amp; Spectral › Spectrometer-on-chip</t>
        </is>
      </c>
      <c r="E694" s="45" t="inlineStr">
        <is>
          <t>Measures</t>
        </is>
      </c>
      <c r="F694" s="12" t="inlineStr">
        <is>
          <t>Light intensity in 11 wavelength bands 350-1000nm</t>
        </is>
      </c>
    </row>
    <row r="695" outlineLevel="1" ht="15" customHeight="1">
      <c r="A695" s="45" t="inlineStr">
        <is>
          <t>Modality</t>
        </is>
      </c>
      <c r="B695" s="12" t="inlineStr">
        <is>
          <t>—</t>
        </is>
      </c>
      <c r="E695" s="45" t="inlineStr">
        <is>
          <t>Interface</t>
        </is>
      </c>
      <c r="F695" s="12" t="inlineStr">
        <is>
          <t>I2C</t>
        </is>
      </c>
    </row>
    <row r="696" outlineLevel="1" ht="15" customHeight="1">
      <c r="A696" s="45" t="inlineStr">
        <is>
          <t>Supply</t>
        </is>
      </c>
      <c r="B696" s="12" t="inlineStr">
        <is>
          <t>1.8V core (3.3V boards)</t>
        </is>
      </c>
      <c r="E696" s="45" t="inlineStr">
        <is>
          <t>Price</t>
        </is>
      </c>
      <c r="F696" s="12" t="inlineStr">
        <is>
          <t>$14  ($$)</t>
        </is>
      </c>
    </row>
    <row r="697" outlineLevel="1" ht="15" customHeight="1">
      <c r="A697" s="45" t="inlineStr">
        <is>
          <t>Difficulty</t>
        </is>
      </c>
      <c r="B697" s="12" t="inlineStr">
        <is>
          <t>2 — Easy — breadboard wiring, a well-documented library, no analog thought needed</t>
        </is>
      </c>
    </row>
    <row r="698" outlineLevel="1" ht="23" customHeight="1">
      <c r="A698" s="45" t="inlineStr">
        <is>
          <t>HOW</t>
        </is>
      </c>
      <c r="B698" s="46" t="inlineStr">
        <is>
          <t>An array of interference-filtered photodiodes acts as a coarse spectrometer — you get a real spectrum bar-chart of any light source or surface.</t>
        </is>
      </c>
    </row>
    <row r="699" outlineLevel="1" ht="20" customHeight="1">
      <c r="A699" s="45" t="inlineStr">
        <is>
          <t>COMMON</t>
        </is>
      </c>
      <c r="B699" s="46" t="inlineStr">
        <is>
          <t>Grow-light spectrum tuning, LED QA, flicker detection, fruit-ripeness experiments, art-light conservation.</t>
        </is>
      </c>
    </row>
    <row r="700" outlineLevel="1" ht="23" customHeight="1">
      <c r="A700" s="45" t="inlineStr">
        <is>
          <t>INVENTION</t>
        </is>
      </c>
      <c r="B700" s="48" t="inlineStr">
        <is>
          <t>Ripeness scanner: NIR/red ratios change as fruit ripens — train a tiny classifier to grade avocados before you squeeze them to death.</t>
        </is>
      </c>
    </row>
    <row r="701" outlineLevel="1" ht="16" customHeight="1">
      <c r="A701" s="45" t="inlineStr">
        <is>
          <t>PAIRS</t>
        </is>
      </c>
      <c r="B701" s="46" t="inlineStr">
        <is>
          <t>White LED for reflectance mode, TinyML classifier</t>
        </is>
      </c>
    </row>
    <row r="702" outlineLevel="1" ht="16" customHeight="1">
      <c r="A702" s="45" t="inlineStr">
        <is>
          <t>KEY</t>
        </is>
      </c>
      <c r="B702" s="46" t="inlineStr">
        <is>
          <t>8 visible bands + clear + NIR + flicker-detect channel</t>
        </is>
      </c>
    </row>
    <row r="703" outlineLevel="1" ht="16" customHeight="1">
      <c r="A703" s="45" t="inlineStr">
        <is>
          <t>buy</t>
        </is>
      </c>
      <c r="B703" s="49" t="inlineStr">
        <is>
          <t>AF · SF · DK · MO   |   boards: Adafruit 4698, SparkFun Qwiic AS7341   |   lib: Adafruit_AS7341   [High]</t>
        </is>
      </c>
    </row>
    <row r="705" ht="22" customHeight="1">
      <c r="A705" s="54" t="inlineStr">
        <is>
          <t>S053</t>
        </is>
      </c>
      <c r="B705" s="55" t="inlineStr">
        <is>
          <t>AS7263 NIR spectral   ·   AS7263 / AS7262 (visible)</t>
        </is>
      </c>
    </row>
    <row r="706" outlineLevel="1" ht="15" customHeight="1">
      <c r="A706" s="45" t="inlineStr">
        <is>
          <t>Category</t>
        </is>
      </c>
      <c r="B706" s="12" t="inlineStr">
        <is>
          <t>Colour &amp; Spectral › Spectrometer-on-chip</t>
        </is>
      </c>
      <c r="E706" s="45" t="inlineStr">
        <is>
          <t>Measures</t>
        </is>
      </c>
      <c r="F706" s="12" t="inlineStr">
        <is>
          <t>6 near-infrared bands 610-860nm (AS7262: 6 visible)</t>
        </is>
      </c>
    </row>
    <row r="707" outlineLevel="1" ht="15" customHeight="1">
      <c r="A707" s="45" t="inlineStr">
        <is>
          <t>Modality</t>
        </is>
      </c>
      <c r="B707" s="12" t="inlineStr">
        <is>
          <t>—</t>
        </is>
      </c>
      <c r="E707" s="45" t="inlineStr">
        <is>
          <t>Interface</t>
        </is>
      </c>
      <c r="F707" s="12" t="inlineStr">
        <is>
          <t>I2C / UART</t>
        </is>
      </c>
    </row>
    <row r="708" outlineLevel="1" ht="15" customHeight="1">
      <c r="A708" s="45" t="inlineStr">
        <is>
          <t>Supply</t>
        </is>
      </c>
      <c r="B708" s="12" t="inlineStr">
        <is>
          <t>2.7-3.6V</t>
        </is>
      </c>
      <c r="E708" s="45" t="inlineStr">
        <is>
          <t>Price</t>
        </is>
      </c>
      <c r="F708" s="12" t="inlineStr">
        <is>
          <t>$27  ($$$)</t>
        </is>
      </c>
    </row>
    <row r="709" outlineLevel="1" ht="15" customHeight="1">
      <c r="A709" s="45" t="inlineStr">
        <is>
          <t>Difficulty</t>
        </is>
      </c>
      <c r="B709" s="12" t="inlineStr">
        <is>
          <t>2 — Easy — breadboard wiring, a well-documented library, no analog thought needed</t>
        </is>
      </c>
    </row>
    <row r="710" outlineLevel="1" ht="24" customHeight="1">
      <c r="A710" s="45" t="inlineStr">
        <is>
          <t>HOW</t>
        </is>
      </c>
      <c r="B710" s="46" t="inlineStr">
        <is>
          <t>Six narrow NIR channels — the bands where water, fat, protein and starch absorb differently, which is why NIR is food science's favourite trick.</t>
        </is>
      </c>
    </row>
    <row r="711" outlineLevel="1" ht="21" customHeight="1">
      <c r="A711" s="45" t="inlineStr">
        <is>
          <t>COMMON</t>
        </is>
      </c>
      <c r="B711" s="46" t="inlineStr">
        <is>
          <t>Food composition demos, moisture in grains/soil, counterfeit-pill and fabric experiments, plant water stress.</t>
        </is>
      </c>
    </row>
    <row r="712" outlineLevel="1" ht="21" customHeight="1">
      <c r="A712" s="45" t="inlineStr">
        <is>
          <t>INVENTION</t>
        </is>
      </c>
      <c r="B712" s="48" t="inlineStr">
        <is>
          <t>A pocket 'is my lawn thirsty' gun: NIR reflectance (NDVI-like) reads turf water stress days before browning.</t>
        </is>
      </c>
    </row>
    <row r="713" outlineLevel="1" ht="15" customHeight="1">
      <c r="A713" s="45" t="inlineStr">
        <is>
          <t>PAIRS</t>
        </is>
      </c>
      <c r="B713" s="46" t="inlineStr">
        <is>
          <t>Halogen/IR source LED, GPS for field mapping</t>
        </is>
      </c>
    </row>
    <row r="714" outlineLevel="1" ht="15" customHeight="1">
      <c r="A714" s="45" t="inlineStr">
        <is>
          <t>KEY</t>
        </is>
      </c>
      <c r="B714" s="46" t="inlineStr">
        <is>
          <t>16-bit per channel, onboard bulb driver</t>
        </is>
      </c>
    </row>
    <row r="715" outlineLevel="1" ht="16" customHeight="1">
      <c r="A715" s="45" t="inlineStr">
        <is>
          <t>buy</t>
        </is>
      </c>
      <c r="B715" s="49" t="inlineStr">
        <is>
          <t>SF · DK · MO   |   boards: SparkFun AS7263   |   lib: SparkFun AS726X   [High]</t>
        </is>
      </c>
    </row>
    <row r="717" ht="22" customHeight="1">
      <c r="A717" s="54" t="inlineStr">
        <is>
          <t>S054</t>
        </is>
      </c>
      <c r="B717" s="55" t="inlineStr">
        <is>
          <t>APDS-9960 gesture/color/prox   ·   APDS-9960</t>
        </is>
      </c>
    </row>
    <row r="718" outlineLevel="1" ht="15" customHeight="1">
      <c r="A718" s="45" t="inlineStr">
        <is>
          <t>Category</t>
        </is>
      </c>
      <c r="B718" s="12" t="inlineStr">
        <is>
          <t>Colour &amp; Spectral › Gesture combo</t>
        </is>
      </c>
      <c r="E718" s="45" t="inlineStr">
        <is>
          <t>Measures</t>
        </is>
      </c>
      <c r="F718" s="12" t="inlineStr">
        <is>
          <t>Hand gestures (up/down/left/right), RGB color, proximity to 20cm</t>
        </is>
      </c>
    </row>
    <row r="719" outlineLevel="1" ht="15" customHeight="1">
      <c r="A719" s="45" t="inlineStr">
        <is>
          <t>Modality</t>
        </is>
      </c>
      <c r="B719" s="12" t="inlineStr">
        <is>
          <t>—</t>
        </is>
      </c>
      <c r="E719" s="45" t="inlineStr">
        <is>
          <t>Interface</t>
        </is>
      </c>
      <c r="F719" s="12" t="inlineStr">
        <is>
          <t>I2C</t>
        </is>
      </c>
    </row>
    <row r="720" outlineLevel="1" ht="15" customHeight="1">
      <c r="A720" s="45" t="inlineStr">
        <is>
          <t>Supply</t>
        </is>
      </c>
      <c r="B720" s="12" t="inlineStr">
        <is>
          <t>2.4-3.6V</t>
        </is>
      </c>
      <c r="E720" s="45" t="inlineStr">
        <is>
          <t>Price</t>
        </is>
      </c>
      <c r="F720" s="12" t="inlineStr">
        <is>
          <t>$6  ($$)</t>
        </is>
      </c>
    </row>
    <row r="721" outlineLevel="1" ht="15" customHeight="1">
      <c r="A721" s="45" t="inlineStr">
        <is>
          <t>Difficulty</t>
        </is>
      </c>
      <c r="B721" s="12" t="inlineStr">
        <is>
          <t>2 — Easy — breadboard wiring, a well-documented library, no analog thought needed</t>
        </is>
      </c>
    </row>
    <row r="722" outlineLevel="1" ht="25" customHeight="1">
      <c r="A722" s="45" t="inlineStr">
        <is>
          <t>HOW</t>
        </is>
      </c>
      <c r="B722" s="46" t="inlineStr">
        <is>
          <t>Four directional photodiodes watch reflections from its IR LED; the time-order in which they light up reveals swipe direction — gesture sensing with no camera.</t>
        </is>
      </c>
    </row>
    <row r="723" outlineLevel="1" ht="20" customHeight="1">
      <c r="A723" s="45" t="inlineStr">
        <is>
          <t>COMMON</t>
        </is>
      </c>
      <c r="B723" s="46" t="inlineStr">
        <is>
          <t>Touchless controls (kitchen/bathroom/medical), swipe-controlled lamps, page-turners for musicians.</t>
        </is>
      </c>
    </row>
    <row r="724" outlineLevel="1" ht="22" customHeight="1">
      <c r="A724" s="45" t="inlineStr">
        <is>
          <t>INVENTION</t>
        </is>
      </c>
      <c r="B724" s="48" t="inlineStr">
        <is>
          <t>Touchless everything for mess contexts: swipe to scroll a recipe with dough-covered hands, or page sheet-music mid-performance.</t>
        </is>
      </c>
    </row>
    <row r="725" outlineLevel="1" ht="15" customHeight="1">
      <c r="A725" s="45" t="inlineStr">
        <is>
          <t>PAIRS</t>
        </is>
      </c>
      <c r="B725" s="46" t="inlineStr">
        <is>
          <t>OLED for UI feedback, relay/LED strips</t>
        </is>
      </c>
    </row>
    <row r="726" outlineLevel="1" ht="15" customHeight="1">
      <c r="A726" s="45" t="inlineStr">
        <is>
          <t>KEY</t>
        </is>
      </c>
      <c r="B726" s="46" t="inlineStr">
        <is>
          <t>Gesture + prox + RGB + ambient in one</t>
        </is>
      </c>
    </row>
    <row r="727" outlineLevel="1" ht="16" customHeight="1">
      <c r="A727" s="45" t="inlineStr">
        <is>
          <t>buy</t>
        </is>
      </c>
      <c r="B727" s="49" t="inlineStr">
        <is>
          <t>AF · SF · AE · DK   |   boards: Adafruit 3595, SparkFun 14865   |   lib: Adafruit_APDS9960, SparkFun APDS9960   [High]</t>
        </is>
      </c>
    </row>
    <row r="729" ht="22" customHeight="1">
      <c r="A729" s="54" t="inlineStr">
        <is>
          <t>S055</t>
        </is>
      </c>
      <c r="B729" s="55" t="inlineStr">
        <is>
          <t>OPT4048 tristimulus color   ·   OPT4048</t>
        </is>
      </c>
    </row>
    <row r="730" outlineLevel="1" ht="15" customHeight="1">
      <c r="A730" s="45" t="inlineStr">
        <is>
          <t>Category</t>
        </is>
      </c>
      <c r="B730" s="12" t="inlineStr">
        <is>
          <t>Colour &amp; Spectral › RGB color (CIE-accurate)</t>
        </is>
      </c>
      <c r="E730" s="45" t="inlineStr">
        <is>
          <t>Measures</t>
        </is>
      </c>
      <c r="F730" s="12" t="inlineStr">
        <is>
          <t>CIE XYZ color — colorimeter-grade chromaticity</t>
        </is>
      </c>
    </row>
    <row r="731" outlineLevel="1" ht="15" customHeight="1">
      <c r="A731" s="45" t="inlineStr">
        <is>
          <t>Modality</t>
        </is>
      </c>
      <c r="B731" s="12" t="inlineStr">
        <is>
          <t>—</t>
        </is>
      </c>
      <c r="E731" s="45" t="inlineStr">
        <is>
          <t>Interface</t>
        </is>
      </c>
      <c r="F731" s="12" t="inlineStr">
        <is>
          <t>I2C</t>
        </is>
      </c>
    </row>
    <row r="732" outlineLevel="1" ht="15" customHeight="1">
      <c r="A732" s="45" t="inlineStr">
        <is>
          <t>Supply</t>
        </is>
      </c>
      <c r="B732" s="12" t="inlineStr">
        <is>
          <t>1.7-3.6V</t>
        </is>
      </c>
      <c r="E732" s="45" t="inlineStr">
        <is>
          <t>Price</t>
        </is>
      </c>
      <c r="F732" s="12" t="inlineStr">
        <is>
          <t>$9  ($$)</t>
        </is>
      </c>
    </row>
    <row r="733" outlineLevel="1" ht="15" customHeight="1">
      <c r="A733" s="45" t="inlineStr">
        <is>
          <t>Difficulty</t>
        </is>
      </c>
      <c r="B733" s="12" t="inlineStr">
        <is>
          <t>2 — Easy — breadboard wiring, a well-documented library, no analog thought needed</t>
        </is>
      </c>
    </row>
    <row r="734" outlineLevel="1" ht="25" customHeight="1">
      <c r="A734" s="45" t="inlineStr">
        <is>
          <t>HOW</t>
        </is>
      </c>
      <c r="B734" s="46" t="inlineStr">
        <is>
          <t>Filters matched to the CIE human-vision curves output XYZ directly, so you get scientifically correct chromaticity (xy) and CCT, not just 'R&gt;G so it's reddish'.</t>
        </is>
      </c>
    </row>
    <row r="735" outlineLevel="1" ht="20" customHeight="1">
      <c r="A735" s="45" t="inlineStr">
        <is>
          <t>COMMON</t>
        </is>
      </c>
      <c r="B735" s="46" t="inlineStr">
        <is>
          <t>Display calibration helpers, stage/film lighting QA, circadian metrics (melanopic lux approximations).</t>
        </is>
      </c>
    </row>
    <row r="736" outlineLevel="1" ht="21" customHeight="1">
      <c r="A736" s="45" t="inlineStr">
        <is>
          <t>INVENTION</t>
        </is>
      </c>
      <c r="B736" s="48" t="inlineStr">
        <is>
          <t>Measure your evening rooms in melanopic terms and auto-shift smart bulbs — a circadian thermostat for light.</t>
        </is>
      </c>
    </row>
    <row r="737" outlineLevel="1" ht="15" customHeight="1">
      <c r="A737" s="45" t="inlineStr">
        <is>
          <t>PAIRS</t>
        </is>
      </c>
      <c r="B737" s="46" t="inlineStr">
        <is>
          <t>Smart bulb API control, RTC schedules</t>
        </is>
      </c>
    </row>
    <row r="738" outlineLevel="1" ht="15" customHeight="1">
      <c r="A738" s="45" t="inlineStr">
        <is>
          <t>KEY</t>
        </is>
      </c>
      <c r="B738" s="46" t="inlineStr">
        <is>
          <t>CIE 1931 XYZ, lux + CCT, flicker up to 1kHz</t>
        </is>
      </c>
    </row>
    <row r="739" outlineLevel="1" ht="16" customHeight="1">
      <c r="A739" s="45" t="inlineStr">
        <is>
          <t>buy</t>
        </is>
      </c>
      <c r="B739" s="49" t="inlineStr">
        <is>
          <t>SF · DK · MO   |   boards: SparkFun Qwiic OPT4048   |   lib: SparkFun OPT4048   [High]</t>
        </is>
      </c>
    </row>
    <row r="741" ht="22" customHeight="1">
      <c r="A741" s="62" t="inlineStr">
        <is>
          <t>S056</t>
        </is>
      </c>
      <c r="B741" s="63" t="inlineStr">
        <is>
          <t>HC-SR04 ultrasonic   ·   HC-SR04</t>
        </is>
      </c>
    </row>
    <row r="742" outlineLevel="1" ht="15" customHeight="1">
      <c r="A742" s="45" t="inlineStr">
        <is>
          <t>Category</t>
        </is>
      </c>
      <c r="B742" s="12" t="inlineStr">
        <is>
          <t>Distance &amp; Ranging › Ultrasonic</t>
        </is>
      </c>
      <c r="E742" s="45" t="inlineStr">
        <is>
          <t>Measures</t>
        </is>
      </c>
      <c r="F742" s="12" t="inlineStr">
        <is>
          <t>Distance 2-400cm via sound echo</t>
        </is>
      </c>
    </row>
    <row r="743" outlineLevel="1" ht="15" customHeight="1">
      <c r="A743" s="45" t="inlineStr">
        <is>
          <t>Modality</t>
        </is>
      </c>
      <c r="B743" s="12" t="inlineStr">
        <is>
          <t>Acoustic</t>
        </is>
      </c>
      <c r="E743" s="45" t="inlineStr">
        <is>
          <t>Interface</t>
        </is>
      </c>
      <c r="F743" s="12" t="inlineStr">
        <is>
          <t>Pulse</t>
        </is>
      </c>
    </row>
    <row r="744" outlineLevel="1" ht="15" customHeight="1">
      <c r="A744" s="45" t="inlineStr">
        <is>
          <t>Supply</t>
        </is>
      </c>
      <c r="B744" s="12" t="inlineStr">
        <is>
          <t>5V (3.3V variants: HC-SR04+)</t>
        </is>
      </c>
      <c r="E744" s="45" t="inlineStr">
        <is>
          <t>Price</t>
        </is>
      </c>
      <c r="F744" s="12" t="inlineStr">
        <is>
          <t>$1.5  ($)</t>
        </is>
      </c>
    </row>
    <row r="745" outlineLevel="1" ht="15" customHeight="1">
      <c r="A745" s="45" t="inlineStr">
        <is>
          <t>Difficulty</t>
        </is>
      </c>
      <c r="B745" s="12" t="inlineStr">
        <is>
          <t>1 — Plug and play — Qwiic/STEMMA cable or 3 wires, library example works first time</t>
        </is>
      </c>
    </row>
    <row r="746" outlineLevel="1" ht="22" customHeight="1">
      <c r="A746" s="45" t="inlineStr">
        <is>
          <t>HOW</t>
        </is>
      </c>
      <c r="B746" s="46" t="inlineStr">
        <is>
          <t>Sends an ultrasonic chirp and times the echo — distance = time × speed of sound / 2. The icon of Arduino distance sensing.</t>
        </is>
      </c>
    </row>
    <row r="747" outlineLevel="1" ht="54" customHeight="1">
      <c r="A747" s="45" t="inlineStr">
        <is>
          <t>WHAT</t>
        </is>
      </c>
      <c r="B747" s="47" t="inlineStr">
        <is>
          <t>Soft, angled or textured targets scatter the echo away and simply return nothing — curtains, foam and a person in a wool coat are close to invisible. The beam is a ~15° cone, so it reports the NEAREST thing in that cone, not what you aimed at. The speed of sound changes about 0.6% per °C, so an uncompensated outdoor reading drifts by centimetres between morning and afternoon. Multiple units interfere unless you fire them in sequence. The echo pin is 5V and will damage an ESP32 GPIO without a divider.</t>
        </is>
      </c>
    </row>
    <row r="748" outlineLevel="1" ht="19" customHeight="1">
      <c r="A748" s="45" t="inlineStr">
        <is>
          <t>COMMON</t>
        </is>
      </c>
      <c r="B748" s="46" t="inlineStr">
        <is>
          <t>Robot obstacle avoidance, parking sensors, bin-fullness, water tank levels (above water).</t>
        </is>
      </c>
    </row>
    <row r="749" outlineLevel="1" ht="23" customHeight="1">
      <c r="A749" s="45" t="inlineStr">
        <is>
          <t>INVENTION</t>
        </is>
      </c>
      <c r="B749" s="48" t="inlineStr">
        <is>
          <t>A theremin you can build in an hour: distance → pitch via DAC. Or a garage 'tennis ball replacement' that lights green/red as you park.</t>
        </is>
      </c>
    </row>
    <row r="750" outlineLevel="1" ht="16" customHeight="1">
      <c r="A750" s="45" t="inlineStr">
        <is>
          <t>REQUIRES</t>
        </is>
      </c>
      <c r="B750" s="46" t="inlineStr">
        <is>
          <t>Voltage divider on ECHO (or use the 3.3V-safe US-100)</t>
        </is>
      </c>
    </row>
    <row r="751" outlineLevel="1" ht="21" customHeight="1">
      <c r="A751" s="45" t="inlineStr">
        <is>
          <t>SUBSTITUT</t>
        </is>
      </c>
      <c r="B751" s="46" t="inlineStr">
        <is>
          <t>3.3V-native with temperature compensation: US-100. Weatherproof: JSN-SR04T. Precise and narrow-beam: VL53L0X.</t>
        </is>
      </c>
    </row>
    <row r="752" outlineLevel="1" ht="16" customHeight="1">
      <c r="A752" s="45" t="inlineStr">
        <is>
          <t>PAIRS</t>
        </is>
      </c>
      <c r="B752" s="46" t="inlineStr">
        <is>
          <t>WS2812 strip for distance display, buzzer theremin</t>
        </is>
      </c>
    </row>
    <row r="753" outlineLevel="1" ht="16" customHeight="1">
      <c r="A753" s="45" t="inlineStr">
        <is>
          <t>KEY</t>
        </is>
      </c>
      <c r="B753" s="46" t="inlineStr">
        <is>
          <t>±3mm class, 15° beam, struggles on soft/angled targets</t>
        </is>
      </c>
    </row>
    <row r="754" outlineLevel="1" ht="26" customHeight="1">
      <c r="A754" s="45" t="inlineStr">
        <is>
          <t>specs</t>
        </is>
      </c>
      <c r="B754" s="49" t="inlineStr">
        <is>
          <t>Range: 2-400 cm   Accuracy: ±3 mm nominal, far worse in practice   Rate: up to ~20 Hz   Calibration: One-point   Environment: Indoor   Lifecycle: Active   Maturity: Excellent   ESP32: Any variant; ECHO must be divided to 3.3V</t>
        </is>
      </c>
    </row>
    <row r="755" outlineLevel="1" ht="16" customHeight="1">
      <c r="A755" s="45" t="inlineStr">
        <is>
          <t>buy</t>
        </is>
      </c>
      <c r="B755" s="49" t="inlineStr">
        <is>
          <t>AE · AMZ · SF · CE · DFR   |   boards: Classic 4-pin module   |   lib: NewPing, pulseIn   [High, 2026-07]</t>
        </is>
      </c>
    </row>
    <row r="756" outlineLevel="1" ht="45" customHeight="1">
      <c r="A756" s="50" t="inlineStr">
        <is>
          <t>unlocks</t>
        </is>
      </c>
      <c r="B756" s="51" t="inlineStr">
        <is>
          <t>Is there something in the way?  •  How much is in the tank?  •  Is the thing there?  •  How full is it?  •  Is anyone here?  •  How far have I gone?</t>
        </is>
      </c>
    </row>
    <row r="758" ht="22" customHeight="1">
      <c r="A758" s="54" t="inlineStr">
        <is>
          <t>S057</t>
        </is>
      </c>
      <c r="B758" s="55" t="inlineStr">
        <is>
          <t>JSN-SR04T waterproof ultrasonic   ·   JSN-SR04T / AJ-SR04M</t>
        </is>
      </c>
    </row>
    <row r="759" outlineLevel="1" ht="15" customHeight="1">
      <c r="A759" s="45" t="inlineStr">
        <is>
          <t>Category</t>
        </is>
      </c>
      <c r="B759" s="12" t="inlineStr">
        <is>
          <t>Distance &amp; Ranging › Ultrasonic</t>
        </is>
      </c>
      <c r="E759" s="45" t="inlineStr">
        <is>
          <t>Measures</t>
        </is>
      </c>
      <c r="F759" s="12" t="inlineStr">
        <is>
          <t>Distance 20-600cm with sealed remote transducer</t>
        </is>
      </c>
    </row>
    <row r="760" outlineLevel="1" ht="15" customHeight="1">
      <c r="A760" s="45" t="inlineStr">
        <is>
          <t>Modality</t>
        </is>
      </c>
      <c r="B760" s="12" t="inlineStr">
        <is>
          <t>—</t>
        </is>
      </c>
      <c r="E760" s="45" t="inlineStr">
        <is>
          <t>Interface</t>
        </is>
      </c>
      <c r="F760" s="12" t="inlineStr">
        <is>
          <t>UART / Pulse</t>
        </is>
      </c>
    </row>
    <row r="761" outlineLevel="1" ht="15" customHeight="1">
      <c r="A761" s="45" t="inlineStr">
        <is>
          <t>Supply</t>
        </is>
      </c>
      <c r="B761" s="12" t="inlineStr">
        <is>
          <t>3.3-5V</t>
        </is>
      </c>
      <c r="E761" s="45" t="inlineStr">
        <is>
          <t>Price</t>
        </is>
      </c>
      <c r="F761" s="12" t="inlineStr">
        <is>
          <t>$6  ($$)</t>
        </is>
      </c>
    </row>
    <row r="762" outlineLevel="1" ht="15" customHeight="1">
      <c r="A762" s="45" t="inlineStr">
        <is>
          <t>Difficulty</t>
        </is>
      </c>
      <c r="B762" s="12" t="inlineStr">
        <is>
          <t>2 — Easy — breadboard wiring, a well-documented library, no analog thought needed</t>
        </is>
      </c>
    </row>
    <row r="763" outlineLevel="1" ht="21" customHeight="1">
      <c r="A763" s="45" t="inlineStr">
        <is>
          <t>HOW</t>
        </is>
      </c>
      <c r="B763" s="46" t="inlineStr">
        <is>
          <t>Same echo-timing as HC-SR04 but the transducer is a sealed puck on a cable — survives rain, splashes, and bin juice.</t>
        </is>
      </c>
    </row>
    <row r="764" outlineLevel="1" ht="18" customHeight="1">
      <c r="A764" s="45" t="inlineStr">
        <is>
          <t>COMMON</t>
        </is>
      </c>
      <c r="B764" s="46" t="inlineStr">
        <is>
          <t>Water tank/sump levels, bin fill for smart waste, snow depth, river gauge boards.</t>
        </is>
      </c>
    </row>
    <row r="765" outlineLevel="1" ht="22" customHeight="1">
      <c r="A765" s="45" t="inlineStr">
        <is>
          <t>INVENTION</t>
        </is>
      </c>
      <c r="B765" s="48" t="inlineStr">
        <is>
          <t>Neighbourhood flood early-warning: a culvert-mounted node texting water-rise rate, solar powered — councils pay thousands for this.</t>
        </is>
      </c>
    </row>
    <row r="766" outlineLevel="1" ht="15" customHeight="1">
      <c r="A766" s="45" t="inlineStr">
        <is>
          <t>PAIRS</t>
        </is>
      </c>
      <c r="B766" s="46" t="inlineStr">
        <is>
          <t>LoRa + solar, rain gauge for context</t>
        </is>
      </c>
    </row>
    <row r="767" outlineLevel="1" ht="15" customHeight="1">
      <c r="A767" s="45" t="inlineStr">
        <is>
          <t>KEY</t>
        </is>
      </c>
      <c r="B767" s="46" t="inlineStr">
        <is>
          <t>25cm blind zone — mount with standoff</t>
        </is>
      </c>
    </row>
    <row r="768" outlineLevel="1" ht="16" customHeight="1">
      <c r="A768" s="45" t="inlineStr">
        <is>
          <t>buy</t>
        </is>
      </c>
      <c r="B768" s="49" t="inlineStr">
        <is>
          <t>AE · AMZ · DFR   |   boards: Module + potted transducer on 2.5m cable   |   lib: NewPing (mode jumpers matter)   [High]</t>
        </is>
      </c>
    </row>
    <row r="770" ht="22" customHeight="1">
      <c r="A770" s="60" t="inlineStr">
        <is>
          <t>S058</t>
        </is>
      </c>
      <c r="B770" s="61" t="inlineStr">
        <is>
          <t>VL53L0X ToF laser   ·   VL53L0X</t>
        </is>
      </c>
    </row>
    <row r="771" outlineLevel="1" ht="15" customHeight="1">
      <c r="A771" s="45" t="inlineStr">
        <is>
          <t>Category</t>
        </is>
      </c>
      <c r="B771" s="12" t="inlineStr">
        <is>
          <t>Distance &amp; Ranging › Laser time-of-flight</t>
        </is>
      </c>
      <c r="E771" s="45" t="inlineStr">
        <is>
          <t>Measures</t>
        </is>
      </c>
      <c r="F771" s="12" t="inlineStr">
        <is>
          <t>Distance 30-2000mm, light-based, mm precision</t>
        </is>
      </c>
    </row>
    <row r="772" outlineLevel="1" ht="15" customHeight="1">
      <c r="A772" s="45" t="inlineStr">
        <is>
          <t>Modality</t>
        </is>
      </c>
      <c r="B772" s="12" t="inlineStr">
        <is>
          <t>Optical</t>
        </is>
      </c>
      <c r="E772" s="45" t="inlineStr">
        <is>
          <t>Interface</t>
        </is>
      </c>
      <c r="F772" s="12" t="inlineStr">
        <is>
          <t>I2C</t>
        </is>
      </c>
    </row>
    <row r="773" outlineLevel="1" ht="15" customHeight="1">
      <c r="A773" s="45" t="inlineStr">
        <is>
          <t>Supply</t>
        </is>
      </c>
      <c r="B773" s="12" t="inlineStr">
        <is>
          <t>2.6-3.5V</t>
        </is>
      </c>
      <c r="E773" s="45" t="inlineStr">
        <is>
          <t>Price</t>
        </is>
      </c>
      <c r="F773" s="12" t="inlineStr">
        <is>
          <t>$5  ($$)</t>
        </is>
      </c>
    </row>
    <row r="774" outlineLevel="1" ht="15" customHeight="1">
      <c r="A774" s="45" t="inlineStr">
        <is>
          <t>Difficulty</t>
        </is>
      </c>
      <c r="B774" s="12" t="inlineStr">
        <is>
          <t>1 — Plug and play — Qwiic/STEMMA cable or 3 wires, library example works first time</t>
        </is>
      </c>
    </row>
    <row r="775" outlineLevel="1" ht="33" customHeight="1">
      <c r="A775" s="45" t="inlineStr">
        <is>
          <t>HOW</t>
        </is>
      </c>
      <c r="B775" s="46" t="inlineStr">
        <is>
          <t>Times photons from an invisible 940nm laser pulse to the target and back — it measures the actual flight time of light, in a chip the size of a grain of rice. Range depends strongly on target reflectivity (ST quotes ~2m on a white target but ~0.8m on dark grey).</t>
        </is>
      </c>
    </row>
    <row r="776" outlineLevel="1" ht="58" customHeight="1">
      <c r="A776" s="45" t="inlineStr">
        <is>
          <t>WHAT</t>
        </is>
      </c>
      <c r="B776" s="47" t="inlineStr">
        <is>
          <t>Range depends strongly on target reflectivity — roughly 2m on white, under 1m on dark grey, and a black matt surface can read as nothing at all. Direct sunlight swamps the receiver and collapses the usable range outdoors. Any cover glass causes internal crosstalk unless you use an air gap and run crosstalk calibration. THE ADDRESS IS FIXED AT 0x29 on every unit: two on one bus is impossible without a multiplexer, or holding each XSHUT low and assigning addresses one at a time at boot — this is the single most common reason multi-ToF projects never work.</t>
        </is>
      </c>
    </row>
    <row r="777" outlineLevel="1" ht="19" customHeight="1">
      <c r="A777" s="45" t="inlineStr">
        <is>
          <t>COMMON</t>
        </is>
      </c>
      <c r="B777" s="46" t="inlineStr">
        <is>
          <t>Precise liquid levels, 3D-printer bed probing, museum 'don't touch' zones, gesture sliders.</t>
        </is>
      </c>
    </row>
    <row r="778" outlineLevel="1" ht="22" customHeight="1">
      <c r="A778" s="45" t="inlineStr">
        <is>
          <t>INVENTION</t>
        </is>
      </c>
      <c r="B778" s="48" t="inlineStr">
        <is>
          <t>A filament-spool 'fuel gauge': ToF to spool surface estimates grams remaining and warns mid-print-risk before you start.</t>
        </is>
      </c>
    </row>
    <row r="779" outlineLevel="1" ht="18" customHeight="1">
      <c r="A779" s="45" t="inlineStr">
        <is>
          <t>REQUIRES</t>
        </is>
      </c>
      <c r="B779" s="46" t="inlineStr">
        <is>
          <t>XSHUT pin wired per sensor, or a TCA9548A multiplexer, for more than one</t>
        </is>
      </c>
    </row>
    <row r="780" outlineLevel="1" ht="18" customHeight="1">
      <c r="A780" s="45" t="inlineStr">
        <is>
          <t>SUBSTITUT</t>
        </is>
      </c>
      <c r="B780" s="46" t="inlineStr">
        <is>
          <t>Longer range: VL53L1X. Very short range: VL6180X. 64-zone depth: VL53L5CX.</t>
        </is>
      </c>
    </row>
    <row r="781" outlineLevel="1" ht="15" customHeight="1">
      <c r="A781" s="45" t="inlineStr">
        <is>
          <t>PAIRS</t>
        </is>
      </c>
      <c r="B781" s="46" t="inlineStr">
        <is>
          <t>OLED gauge, printer pause webhook</t>
        </is>
      </c>
    </row>
    <row r="782" outlineLevel="1" ht="15" customHeight="1">
      <c r="A782" s="45" t="inlineStr">
        <is>
          <t>KEY</t>
        </is>
      </c>
      <c r="B782" s="46" t="inlineStr">
        <is>
          <t>±3% accuracy, narrow beam vs ultrasonic</t>
        </is>
      </c>
    </row>
    <row r="783" outlineLevel="1" ht="30" customHeight="1">
      <c r="A783" s="45" t="inlineStr">
        <is>
          <t>specs</t>
        </is>
      </c>
      <c r="B783" s="49" t="inlineStr">
        <is>
          <t>Range: 30-2000 mm   Accuracy: ±3% (target- and light-dependent)   Resolution: 1 mm   Rate: up to 50 Hz   I2C addr: 0x29 (FIXED — see note)   Calibration: One-point   Environment: Indoor   Lifecycle: Active   Maturity: Excellent   ESP32: Any variant; budget a GPIO per sensor for XSHUT</t>
        </is>
      </c>
    </row>
    <row r="784" outlineLevel="1" ht="22" customHeight="1">
      <c r="A784" s="52" t="inlineStr">
        <is>
          <t>⚠</t>
        </is>
      </c>
      <c r="B784" s="53" t="inlineStr">
        <is>
          <t>HAZARD: Laser — Emits laser radiation — eye safety class matters</t>
        </is>
      </c>
    </row>
    <row r="785" outlineLevel="1" ht="16" customHeight="1">
      <c r="A785" s="45" t="inlineStr">
        <is>
          <t>buy</t>
        </is>
      </c>
      <c r="B785" s="49" t="inlineStr">
        <is>
          <t>AF · SF · AE · DK · PI   |   boards: GY-530, Adafruit 3317, Pololu   |   lib: Adafruit_VL53L0X, Pololu VL53L0X   [High, 2026-07]</t>
        </is>
      </c>
    </row>
    <row r="786" outlineLevel="1" ht="45" customHeight="1">
      <c r="A786" s="50" t="inlineStr">
        <is>
          <t>unlocks</t>
        </is>
      </c>
      <c r="B786" s="51" t="inlineStr">
        <is>
          <t>Is there something in the way?  •  How much is in the tank?  •  Is the thing there?  •  How much is left, and how long until it runs out?  •  How full is it?  •  Did something cross this line?</t>
        </is>
      </c>
    </row>
    <row r="788" ht="22" customHeight="1">
      <c r="A788" s="54" t="inlineStr">
        <is>
          <t>S059</t>
        </is>
      </c>
      <c r="B788" s="55" t="inlineStr">
        <is>
          <t>VL53L1X long-range ToF   ·   VL53L1X</t>
        </is>
      </c>
    </row>
    <row r="789" outlineLevel="1" ht="15" customHeight="1">
      <c r="A789" s="45" t="inlineStr">
        <is>
          <t>Category</t>
        </is>
      </c>
      <c r="B789" s="12" t="inlineStr">
        <is>
          <t>Distance &amp; Ranging › Laser time-of-flight</t>
        </is>
      </c>
      <c r="E789" s="45" t="inlineStr">
        <is>
          <t>Measures</t>
        </is>
      </c>
      <c r="F789" s="12" t="inlineStr">
        <is>
          <t>Distance to 4m with programmable region-of-interest</t>
        </is>
      </c>
    </row>
    <row r="790" outlineLevel="1" ht="15" customHeight="1">
      <c r="A790" s="45" t="inlineStr">
        <is>
          <t>Modality</t>
        </is>
      </c>
      <c r="B790" s="12" t="inlineStr">
        <is>
          <t>—</t>
        </is>
      </c>
      <c r="E790" s="45" t="inlineStr">
        <is>
          <t>Interface</t>
        </is>
      </c>
      <c r="F790" s="12" t="inlineStr">
        <is>
          <t>I2C</t>
        </is>
      </c>
    </row>
    <row r="791" outlineLevel="1" ht="15" customHeight="1">
      <c r="A791" s="45" t="inlineStr">
        <is>
          <t>Supply</t>
        </is>
      </c>
      <c r="B791" s="12" t="inlineStr">
        <is>
          <t>2.6-3.5V</t>
        </is>
      </c>
      <c r="E791" s="45" t="inlineStr">
        <is>
          <t>Price</t>
        </is>
      </c>
      <c r="F791" s="12" t="inlineStr">
        <is>
          <t>$12  ($$)</t>
        </is>
      </c>
    </row>
    <row r="792" outlineLevel="1" ht="15" customHeight="1">
      <c r="A792" s="45" t="inlineStr">
        <is>
          <t>Difficulty</t>
        </is>
      </c>
      <c r="B792" s="12" t="inlineStr">
        <is>
          <t>2 — Easy — breadboard wiring, a well-documented library, no analog thought needed</t>
        </is>
      </c>
    </row>
    <row r="793" outlineLevel="1" ht="24" customHeight="1">
      <c r="A793" s="45" t="inlineStr">
        <is>
          <t>HOW</t>
        </is>
      </c>
      <c r="B793" s="46" t="inlineStr">
        <is>
          <t>Bigger SPAD photon-detector array extends range to 4m and lets you select which sub-zone of the field-of-view to range — crude electronic beam steering.</t>
        </is>
      </c>
    </row>
    <row r="794" outlineLevel="1" ht="20" customHeight="1">
      <c r="A794" s="45" t="inlineStr">
        <is>
          <t>COMMON</t>
        </is>
      </c>
      <c r="B794" s="46" t="inlineStr">
        <is>
          <t>People counting in doorways (dual-zone direction), drone altitude, room occupancy without cameras.</t>
        </is>
      </c>
    </row>
    <row r="795" outlineLevel="1" ht="21" customHeight="1">
      <c r="A795" s="45" t="inlineStr">
        <is>
          <t>INVENTION</t>
        </is>
      </c>
      <c r="B795" s="48" t="inlineStr">
        <is>
          <t>Doorway footfall counter: two ROI zones give entry/exit direction — anonymous occupancy analytics for under $15.</t>
        </is>
      </c>
    </row>
    <row r="796" outlineLevel="1" ht="15" customHeight="1">
      <c r="A796" s="45" t="inlineStr">
        <is>
          <t>PAIRS</t>
        </is>
      </c>
      <c r="B796" s="46" t="inlineStr">
        <is>
          <t>ESP-NOW to aggregate multiple doorways</t>
        </is>
      </c>
    </row>
    <row r="797" outlineLevel="1" ht="15" customHeight="1">
      <c r="A797" s="45" t="inlineStr">
        <is>
          <t>KEY</t>
        </is>
      </c>
      <c r="B797" s="46" t="inlineStr">
        <is>
          <t>4m range, 50Hz, ROI windowing</t>
        </is>
      </c>
    </row>
    <row r="798" outlineLevel="1" ht="16" customHeight="1">
      <c r="A798" s="45" t="inlineStr">
        <is>
          <t>buy</t>
        </is>
      </c>
      <c r="B798" s="49" t="inlineStr">
        <is>
          <t>AF · SF · PI · DK   |   boards: Adafruit 3967, SparkFun 14722   |   lib: SparkFun VL53L1X, ST API ports   [High]</t>
        </is>
      </c>
    </row>
    <row r="800" ht="22" customHeight="1">
      <c r="A800" s="54" t="inlineStr">
        <is>
          <t>S060</t>
        </is>
      </c>
      <c r="B800" s="55" t="inlineStr">
        <is>
          <t>VL53L5CX 8x8 ToF array   ·   VL53L5CX / VL53L7CX</t>
        </is>
      </c>
    </row>
    <row r="801" outlineLevel="1" ht="15" customHeight="1">
      <c r="A801" s="45" t="inlineStr">
        <is>
          <t>Category</t>
        </is>
      </c>
      <c r="B801" s="12" t="inlineStr">
        <is>
          <t>Distance &amp; Ranging › 3D depth zones</t>
        </is>
      </c>
      <c r="E801" s="45" t="inlineStr">
        <is>
          <t>Measures</t>
        </is>
      </c>
      <c r="F801" s="12" t="inlineStr">
        <is>
          <t>64 simultaneous distance zones (8x8 depth image) to 4m</t>
        </is>
      </c>
    </row>
    <row r="802" outlineLevel="1" ht="15" customHeight="1">
      <c r="A802" s="45" t="inlineStr">
        <is>
          <t>Modality</t>
        </is>
      </c>
      <c r="B802" s="12" t="inlineStr">
        <is>
          <t>—</t>
        </is>
      </c>
      <c r="E802" s="45" t="inlineStr">
        <is>
          <t>Interface</t>
        </is>
      </c>
      <c r="F802" s="12" t="inlineStr">
        <is>
          <t>I2C</t>
        </is>
      </c>
    </row>
    <row r="803" outlineLevel="1" ht="15" customHeight="1">
      <c r="A803" s="45" t="inlineStr">
        <is>
          <t>Supply</t>
        </is>
      </c>
      <c r="B803" s="12" t="inlineStr">
        <is>
          <t>3.3V (1.8V core)</t>
        </is>
      </c>
      <c r="E803" s="45" t="inlineStr">
        <is>
          <t>Price</t>
        </is>
      </c>
      <c r="F803" s="12" t="inlineStr">
        <is>
          <t>$20  ($$$)</t>
        </is>
      </c>
    </row>
    <row r="804" outlineLevel="1" ht="15" customHeight="1">
      <c r="A804" s="45" t="inlineStr">
        <is>
          <t>Difficulty</t>
        </is>
      </c>
      <c r="B804" s="12" t="inlineStr">
        <is>
          <t>3 — Some skill — calibration, level shifting, timing, or datasheet reading required</t>
        </is>
      </c>
    </row>
    <row r="805" outlineLevel="1" ht="24" customHeight="1">
      <c r="A805" s="45" t="inlineStr">
        <is>
          <t>HOW</t>
        </is>
      </c>
      <c r="B805" s="46" t="inlineStr">
        <is>
          <t>A SPAD matrix returns time-of-flight per zone — effectively a 64-pixel depth camera with no lens, no camera privacy issues, working in total darkness.</t>
        </is>
      </c>
    </row>
    <row r="806" outlineLevel="1" ht="19" customHeight="1">
      <c r="A806" s="45" t="inlineStr">
        <is>
          <t>COMMON</t>
        </is>
      </c>
      <c r="B806" s="46" t="inlineStr">
        <is>
          <t>Gesture volumes, fall detection, shelf-stock sensing, mini robot depth vision, people counting.</t>
        </is>
      </c>
    </row>
    <row r="807" outlineLevel="1" ht="22" customHeight="1">
      <c r="A807" s="45" t="inlineStr">
        <is>
          <t>INVENTION</t>
        </is>
      </c>
      <c r="B807" s="48" t="inlineStr">
        <is>
          <t>Privacy-safe elder fall detector: an 8x8 depth blob lying horizontal where a vertical one used to be — no camera ever installed.</t>
        </is>
      </c>
    </row>
    <row r="808" outlineLevel="1" ht="15" customHeight="1">
      <c r="A808" s="45" t="inlineStr">
        <is>
          <t>PAIRS</t>
        </is>
      </c>
      <c r="B808" s="46" t="inlineStr">
        <is>
          <t>TinyML on zone history, ESP-NOW alerting</t>
        </is>
      </c>
    </row>
    <row r="809" outlineLevel="1" ht="15" customHeight="1">
      <c r="A809" s="45" t="inlineStr">
        <is>
          <t>KEY</t>
        </is>
      </c>
      <c r="B809" s="46" t="inlineStr">
        <is>
          <t>8x8 zones @15Hz, 63° FOV (L7CX: 90°)</t>
        </is>
      </c>
    </row>
    <row r="810" outlineLevel="1" ht="16" customHeight="1">
      <c r="A810" s="45" t="inlineStr">
        <is>
          <t>buy</t>
        </is>
      </c>
      <c r="B810" s="49" t="inlineStr">
        <is>
          <t>SF · AF · DK · MO · PI   |   boards: SparkFun Qwiic VL53L5CX, Pololu   |   lib: SparkFun VL53L5CX, ST ULD   [High]</t>
        </is>
      </c>
    </row>
    <row r="812" ht="22" customHeight="1">
      <c r="A812" s="54" t="inlineStr">
        <is>
          <t>S061</t>
        </is>
      </c>
      <c r="B812" s="55" t="inlineStr">
        <is>
          <t>TF-Luna LiDAR   ·   TF-Luna / TFmini-S</t>
        </is>
      </c>
    </row>
    <row r="813" outlineLevel="1" ht="15" customHeight="1">
      <c r="A813" s="45" t="inlineStr">
        <is>
          <t>Category</t>
        </is>
      </c>
      <c r="B813" s="12" t="inlineStr">
        <is>
          <t>Distance &amp; Ranging › LiDAR module</t>
        </is>
      </c>
      <c r="E813" s="45" t="inlineStr">
        <is>
          <t>Measures</t>
        </is>
      </c>
      <c r="F813" s="12" t="inlineStr">
        <is>
          <t>Distance 0.2-8m indoor</t>
        </is>
      </c>
    </row>
    <row r="814" outlineLevel="1" ht="15" customHeight="1">
      <c r="A814" s="45" t="inlineStr">
        <is>
          <t>Modality</t>
        </is>
      </c>
      <c r="B814" s="12" t="inlineStr">
        <is>
          <t>—</t>
        </is>
      </c>
      <c r="E814" s="45" t="inlineStr">
        <is>
          <t>Interface</t>
        </is>
      </c>
      <c r="F814" s="12" t="inlineStr">
        <is>
          <t>I2C / UART</t>
        </is>
      </c>
    </row>
    <row r="815" outlineLevel="1" ht="15" customHeight="1">
      <c r="A815" s="45" t="inlineStr">
        <is>
          <t>Supply</t>
        </is>
      </c>
      <c r="B815" s="12" t="inlineStr">
        <is>
          <t>3.7-5.2V</t>
        </is>
      </c>
      <c r="E815" s="45" t="inlineStr">
        <is>
          <t>Price</t>
        </is>
      </c>
      <c r="F815" s="12" t="inlineStr">
        <is>
          <t>$25  ($$$)</t>
        </is>
      </c>
    </row>
    <row r="816" outlineLevel="1" ht="15" customHeight="1">
      <c r="A816" s="45" t="inlineStr">
        <is>
          <t>Difficulty</t>
        </is>
      </c>
      <c r="B816" s="12" t="inlineStr">
        <is>
          <t>2 — Easy — breadboard wiring, a well-documented library, no analog thought needed</t>
        </is>
      </c>
    </row>
    <row r="817" outlineLevel="1" ht="22" customHeight="1">
      <c r="A817" s="45" t="inlineStr">
        <is>
          <t>HOW</t>
        </is>
      </c>
      <c r="B817" s="46" t="inlineStr">
        <is>
          <t>Self-contained LiDAR puck — emitter, receiver and processor in a metal shell streaming distance at 250Hz over UART or I2C.</t>
        </is>
      </c>
    </row>
    <row r="818" outlineLevel="1" ht="19" customHeight="1">
      <c r="A818" s="45" t="inlineStr">
        <is>
          <t>COMMON</t>
        </is>
      </c>
      <c r="B818" s="46" t="inlineStr">
        <is>
          <t>Drone terrain following, fast vehicle detection, long-corridor occupancy, kart lap timing.</t>
        </is>
      </c>
    </row>
    <row r="819" outlineLevel="1" ht="20" customHeight="1">
      <c r="A819" s="45" t="inlineStr">
        <is>
          <t>INVENTION</t>
        </is>
      </c>
      <c r="B819" s="48" t="inlineStr">
        <is>
          <t>Driveway 'guest arriving' herald that distinguishes car vs person vs cat by approach-speed signature alone.</t>
        </is>
      </c>
    </row>
    <row r="820" outlineLevel="1" ht="16" customHeight="1">
      <c r="A820" s="45" t="inlineStr">
        <is>
          <t>PAIRS</t>
        </is>
      </c>
      <c r="B820" s="46" t="inlineStr">
        <is>
          <t>Speed math + ESP-NOW to indoor chime, solar gate node</t>
        </is>
      </c>
    </row>
    <row r="821" outlineLevel="1" ht="15" customHeight="1">
      <c r="A821" s="45" t="inlineStr">
        <is>
          <t>KEY</t>
        </is>
      </c>
      <c r="B821" s="46" t="inlineStr">
        <is>
          <t>±6cm, 250Hz, ~2° beam</t>
        </is>
      </c>
    </row>
    <row r="822" outlineLevel="1" ht="16" customHeight="1">
      <c r="A822" s="45" t="inlineStr">
        <is>
          <t>buy</t>
        </is>
      </c>
      <c r="B822" s="49" t="inlineStr">
        <is>
          <t>AE · SF · DK · AMZ · DFR   |   boards: Benewake module   |   lib: TFLI2C, UART parsing   [High]</t>
        </is>
      </c>
    </row>
    <row r="824" ht="22" customHeight="1">
      <c r="A824" s="54" t="inlineStr">
        <is>
          <t>S062</t>
        </is>
      </c>
      <c r="B824" s="55" t="inlineStr">
        <is>
          <t>RPLIDAR / LD19 scanning LiDAR   ·   LDROBOT LD19 / RPLIDAR C1</t>
        </is>
      </c>
    </row>
    <row r="825" outlineLevel="1" ht="15" customHeight="1">
      <c r="A825" s="45" t="inlineStr">
        <is>
          <t>Category</t>
        </is>
      </c>
      <c r="B825" s="12" t="inlineStr">
        <is>
          <t>Distance &amp; Ranging › 360° scanning LiDAR</t>
        </is>
      </c>
      <c r="E825" s="45" t="inlineStr">
        <is>
          <t>Measures</t>
        </is>
      </c>
      <c r="F825" s="12" t="inlineStr">
        <is>
          <t>Full 360° distance map, 12m range, thousands of points/sec</t>
        </is>
      </c>
    </row>
    <row r="826" outlineLevel="1" ht="15" customHeight="1">
      <c r="A826" s="45" t="inlineStr">
        <is>
          <t>Modality</t>
        </is>
      </c>
      <c r="B826" s="12" t="inlineStr">
        <is>
          <t>—</t>
        </is>
      </c>
      <c r="E826" s="45" t="inlineStr">
        <is>
          <t>Interface</t>
        </is>
      </c>
      <c r="F826" s="12" t="inlineStr">
        <is>
          <t>UART</t>
        </is>
      </c>
    </row>
    <row r="827" outlineLevel="1" ht="15" customHeight="1">
      <c r="A827" s="45" t="inlineStr">
        <is>
          <t>Supply</t>
        </is>
      </c>
      <c r="B827" s="12" t="inlineStr">
        <is>
          <t>5V</t>
        </is>
      </c>
      <c r="E827" s="45" t="inlineStr">
        <is>
          <t>Price</t>
        </is>
      </c>
      <c r="F827" s="12" t="inlineStr">
        <is>
          <t>$40  ($$$)</t>
        </is>
      </c>
    </row>
    <row r="828" outlineLevel="1" ht="15" customHeight="1">
      <c r="A828" s="45" t="inlineStr">
        <is>
          <t>Difficulty</t>
        </is>
      </c>
      <c r="B828" s="12" t="inlineStr">
        <is>
          <t>4 — Advanced — analog front-ends, protocol work, mechanical integration, or real safety</t>
        </is>
      </c>
    </row>
    <row r="829" outlineLevel="1" ht="23" customHeight="1">
      <c r="A829" s="45" t="inlineStr">
        <is>
          <t>HOW</t>
        </is>
      </c>
      <c r="B829" s="46" t="inlineStr">
        <is>
          <t>A spinning ToF rangefinder sweeps the room; each rotation yields a 2D floor-plan point cloud — the same data robot vacuums navigate with.</t>
        </is>
      </c>
    </row>
    <row r="830" outlineLevel="1" ht="18" customHeight="1">
      <c r="A830" s="45" t="inlineStr">
        <is>
          <t>COMMON</t>
        </is>
      </c>
      <c r="B830" s="46" t="inlineStr">
        <is>
          <t>Robot SLAM, room mapping, interactive-floor installations, intruder zone detection.</t>
        </is>
      </c>
    </row>
    <row r="831" outlineLevel="1" ht="23" customHeight="1">
      <c r="A831" s="45" t="inlineStr">
        <is>
          <t>INVENTION</t>
        </is>
      </c>
      <c r="B831" s="48" t="inlineStr">
        <is>
          <t>An art installation where projected creatures flee from visitors' ankles — LiDAR tracks feet across the whole floor from one corner.</t>
        </is>
      </c>
    </row>
    <row r="832" outlineLevel="1" ht="16" customHeight="1">
      <c r="A832" s="45" t="inlineStr">
        <is>
          <t>PAIRS</t>
        </is>
      </c>
      <c r="B832" s="46" t="inlineStr">
        <is>
          <t>ESP32-S3 preprocessing → projector PC, ROS2 on a Pi</t>
        </is>
      </c>
    </row>
    <row r="833" outlineLevel="1" ht="15" customHeight="1">
      <c r="A833" s="45" t="inlineStr">
        <is>
          <t>KEY</t>
        </is>
      </c>
      <c r="B833" s="46" t="inlineStr">
        <is>
          <t>360° × 12m, ~4500 pts/s, 10Hz scan</t>
        </is>
      </c>
    </row>
    <row r="834" outlineLevel="1" ht="16" customHeight="1">
      <c r="A834" s="45" t="inlineStr">
        <is>
          <t>buy</t>
        </is>
      </c>
      <c r="B834" s="49" t="inlineStr">
        <is>
          <t>AE · SS · DFR · AMZ   |   boards: LD19/STL19P (vacuum spares are cheap!)   |   lib: ldlidar drivers, micro-ROS   [High]</t>
        </is>
      </c>
    </row>
    <row r="836" ht="22" customHeight="1">
      <c r="A836" s="54" t="inlineStr">
        <is>
          <t>S063</t>
        </is>
      </c>
      <c r="B836" s="55" t="inlineStr">
        <is>
          <t>Sharp GP2Y0A21 IR distance   ·   GP2Y0A21YK0F</t>
        </is>
      </c>
    </row>
    <row r="837" outlineLevel="1" ht="15" customHeight="1">
      <c r="A837" s="45" t="inlineStr">
        <is>
          <t>Category</t>
        </is>
      </c>
      <c r="B837" s="12" t="inlineStr">
        <is>
          <t>Distance &amp; Ranging › IR triangulation</t>
        </is>
      </c>
      <c r="E837" s="45" t="inlineStr">
        <is>
          <t>Measures</t>
        </is>
      </c>
      <c r="F837" s="12" t="inlineStr">
        <is>
          <t>Distance 10-80cm as analog voltage</t>
        </is>
      </c>
    </row>
    <row r="838" outlineLevel="1" ht="15" customHeight="1">
      <c r="A838" s="45" t="inlineStr">
        <is>
          <t>Modality</t>
        </is>
      </c>
      <c r="B838" s="12" t="inlineStr">
        <is>
          <t>—</t>
        </is>
      </c>
      <c r="E838" s="45" t="inlineStr">
        <is>
          <t>Interface</t>
        </is>
      </c>
      <c r="F838" s="12" t="inlineStr">
        <is>
          <t>Analog</t>
        </is>
      </c>
    </row>
    <row r="839" outlineLevel="1" ht="15" customHeight="1">
      <c r="A839" s="45" t="inlineStr">
        <is>
          <t>Supply</t>
        </is>
      </c>
      <c r="B839" s="12" t="inlineStr">
        <is>
          <t>4.5-5.5V</t>
        </is>
      </c>
      <c r="E839" s="45" t="inlineStr">
        <is>
          <t>Price</t>
        </is>
      </c>
      <c r="F839" s="12" t="inlineStr">
        <is>
          <t>$8  ($$)</t>
        </is>
      </c>
    </row>
    <row r="840" outlineLevel="1" ht="15" customHeight="1">
      <c r="A840" s="45" t="inlineStr">
        <is>
          <t>Difficulty</t>
        </is>
      </c>
      <c r="B840" s="12" t="inlineStr">
        <is>
          <t>1 — Plug and play — Qwiic/STEMMA cable or 3 wires, library example works first time</t>
        </is>
      </c>
    </row>
    <row r="841" outlineLevel="1" ht="24" customHeight="1">
      <c r="A841" s="45" t="inlineStr">
        <is>
          <t>HOW</t>
        </is>
      </c>
      <c r="B841" s="46" t="inlineStr">
        <is>
          <t>An IR LED and a position-sensitive detector triangulate: nearer objects reflect at a wider angle. Output is a (nonlinear) analog voltage — fast and simple.</t>
        </is>
      </c>
    </row>
    <row r="842" outlineLevel="1" ht="18" customHeight="1">
      <c r="A842" s="45" t="inlineStr">
        <is>
          <t>COMMON</t>
        </is>
      </c>
      <c r="B842" s="46" t="inlineStr">
        <is>
          <t>Robot cliff sensors, shelf-presence detection, automatic soap/sanitiser dispensers.</t>
        </is>
      </c>
    </row>
    <row r="843" outlineLevel="1" ht="21" customHeight="1">
      <c r="A843" s="45" t="inlineStr">
        <is>
          <t>INVENTION</t>
        </is>
      </c>
      <c r="B843" s="48" t="inlineStr">
        <is>
          <t>Under-bed 'feet on floor' lamp trigger: IR distance sees legs swing out and fades lights up before your feet land.</t>
        </is>
      </c>
    </row>
    <row r="844" outlineLevel="1" ht="15" customHeight="1">
      <c r="A844" s="45" t="inlineStr">
        <is>
          <t>PAIRS</t>
        </is>
      </c>
      <c r="B844" s="46" t="inlineStr">
        <is>
          <t>LED strip with PWM fade, RTC for time-gating</t>
        </is>
      </c>
    </row>
    <row r="845" outlineLevel="1" ht="15" customHeight="1">
      <c r="A845" s="45" t="inlineStr">
        <is>
          <t>KEY</t>
        </is>
      </c>
      <c r="B845" s="46" t="inlineStr">
        <is>
          <t>Nonlinear curve (linearise with 1/V), 25Hz</t>
        </is>
      </c>
    </row>
    <row r="846" outlineLevel="1" ht="16" customHeight="1">
      <c r="A846" s="45" t="inlineStr">
        <is>
          <t>buy</t>
        </is>
      </c>
      <c r="B846" s="49" t="inlineStr">
        <is>
          <t>DK · MO · AE · SF   |   boards: Bare unit + JST cable   |   lib: analogRead + lookup table   [High]</t>
        </is>
      </c>
    </row>
    <row r="848" ht="22" customHeight="1">
      <c r="A848" s="54" t="inlineStr">
        <is>
          <t>S064</t>
        </is>
      </c>
      <c r="B848" s="55" t="inlineStr">
        <is>
          <t>A02YYUW waterproof ultrasonic   ·   A02YYUW / DYP-A02</t>
        </is>
      </c>
    </row>
    <row r="849" outlineLevel="1" ht="15" customHeight="1">
      <c r="A849" s="45" t="inlineStr">
        <is>
          <t>Category</t>
        </is>
      </c>
      <c r="B849" s="12" t="inlineStr">
        <is>
          <t>Distance &amp; Ranging › Ultrasonic</t>
        </is>
      </c>
      <c r="E849" s="45" t="inlineStr">
        <is>
          <t>Measures</t>
        </is>
      </c>
      <c r="F849" s="12" t="inlineStr">
        <is>
          <t>3-450cm, fully potted sensor face, UART output</t>
        </is>
      </c>
    </row>
    <row r="850" outlineLevel="1" ht="15" customHeight="1">
      <c r="A850" s="45" t="inlineStr">
        <is>
          <t>Modality</t>
        </is>
      </c>
      <c r="B850" s="12" t="inlineStr">
        <is>
          <t>—</t>
        </is>
      </c>
      <c r="E850" s="45" t="inlineStr">
        <is>
          <t>Interface</t>
        </is>
      </c>
      <c r="F850" s="12" t="inlineStr">
        <is>
          <t>UART</t>
        </is>
      </c>
    </row>
    <row r="851" outlineLevel="1" ht="15" customHeight="1">
      <c r="A851" s="45" t="inlineStr">
        <is>
          <t>Supply</t>
        </is>
      </c>
      <c r="B851" s="12" t="inlineStr">
        <is>
          <t>3.3-5V</t>
        </is>
      </c>
      <c r="E851" s="45" t="inlineStr">
        <is>
          <t>Price</t>
        </is>
      </c>
      <c r="F851" s="12" t="inlineStr">
        <is>
          <t>$9  ($$)</t>
        </is>
      </c>
    </row>
    <row r="852" outlineLevel="1" ht="15" customHeight="1">
      <c r="A852" s="45" t="inlineStr">
        <is>
          <t>Difficulty</t>
        </is>
      </c>
      <c r="B852" s="12" t="inlineStr">
        <is>
          <t>1 — Plug and play — Qwiic/STEMMA cable or 3 wires, library example works first time</t>
        </is>
      </c>
    </row>
    <row r="853" outlineLevel="1" ht="23" customHeight="1">
      <c r="A853" s="45" t="inlineStr">
        <is>
          <t>HOW</t>
        </is>
      </c>
      <c r="B853" s="46" t="inlineStr">
        <is>
          <t>Sealed-face ultrasonic with auto-streaming UART distance — no exposed transducer cone to corrode, ideal for permanently humid installs.</t>
        </is>
      </c>
    </row>
    <row r="854" outlineLevel="1" ht="17" customHeight="1">
      <c r="A854" s="45" t="inlineStr">
        <is>
          <t>COMMON</t>
        </is>
      </c>
      <c r="B854" s="46" t="inlineStr">
        <is>
          <t>Sump pits, sewage/septic levels, outdoor water butts, dusty grain bins.</t>
        </is>
      </c>
    </row>
    <row r="855" outlineLevel="1" ht="22" customHeight="1">
      <c r="A855" s="45" t="inlineStr">
        <is>
          <t>INVENTION</t>
        </is>
      </c>
      <c r="B855" s="48" t="inlineStr">
        <is>
          <t>Rainwater-harvest brain: tank % + rain forecast API decides whether to pre-drain before a storm — never overflow, never run dry.</t>
        </is>
      </c>
    </row>
    <row r="856" outlineLevel="1" ht="15" customHeight="1">
      <c r="A856" s="45" t="inlineStr">
        <is>
          <t>PAIRS</t>
        </is>
      </c>
      <c r="B856" s="46" t="inlineStr">
        <is>
          <t>Pump relay, weather API via Wi-Fi</t>
        </is>
      </c>
    </row>
    <row r="857" outlineLevel="1" ht="15" customHeight="1">
      <c r="A857" s="45" t="inlineStr">
        <is>
          <t>KEY</t>
        </is>
      </c>
      <c r="B857" s="46" t="inlineStr">
        <is>
          <t>±1cm, IP67 face</t>
        </is>
      </c>
    </row>
    <row r="858" outlineLevel="1" ht="16" customHeight="1">
      <c r="A858" s="45" t="inlineStr">
        <is>
          <t>buy</t>
        </is>
      </c>
      <c r="B858" s="49" t="inlineStr">
        <is>
          <t>DFR · AE   |   boards: DFRobot SEN0311   |   lib: Simple UART frame parse   [High]</t>
        </is>
      </c>
    </row>
    <row r="860" ht="22" customHeight="1">
      <c r="A860" s="43" t="inlineStr">
        <is>
          <t>S065</t>
        </is>
      </c>
      <c r="B860" s="44" t="inlineStr">
        <is>
          <t>HC-SR501 PIR motion   ·   HC-SR501</t>
        </is>
      </c>
    </row>
    <row r="861" outlineLevel="1" ht="15" customHeight="1">
      <c r="A861" s="45" t="inlineStr">
        <is>
          <t>Category</t>
        </is>
      </c>
      <c r="B861" s="12" t="inlineStr">
        <is>
          <t>Presence &amp; Occupancy › PIR (passive infrared)</t>
        </is>
      </c>
      <c r="E861" s="45" t="inlineStr">
        <is>
          <t>Measures</t>
        </is>
      </c>
      <c r="F861" s="12" t="inlineStr">
        <is>
          <t>Movement of warm bodies, ~7m range</t>
        </is>
      </c>
    </row>
    <row r="862" outlineLevel="1" ht="15" customHeight="1">
      <c r="A862" s="45" t="inlineStr">
        <is>
          <t>Modality</t>
        </is>
      </c>
      <c r="B862" s="12" t="inlineStr">
        <is>
          <t>Thermal</t>
        </is>
      </c>
      <c r="E862" s="45" t="inlineStr">
        <is>
          <t>Interface</t>
        </is>
      </c>
      <c r="F862" s="12" t="inlineStr">
        <is>
          <t>Digital</t>
        </is>
      </c>
    </row>
    <row r="863" outlineLevel="1" ht="15" customHeight="1">
      <c r="A863" s="45" t="inlineStr">
        <is>
          <t>Supply</t>
        </is>
      </c>
      <c r="B863" s="12" t="inlineStr">
        <is>
          <t>4.5-20V (5V typ)</t>
        </is>
      </c>
      <c r="E863" s="45" t="inlineStr">
        <is>
          <t>Price</t>
        </is>
      </c>
      <c r="F863" s="12" t="inlineStr">
        <is>
          <t>$1.5  ($)</t>
        </is>
      </c>
    </row>
    <row r="864" outlineLevel="1" ht="15" customHeight="1">
      <c r="A864" s="45" t="inlineStr">
        <is>
          <t>Difficulty</t>
        </is>
      </c>
      <c r="B864" s="12" t="inlineStr">
        <is>
          <t>1 — Plug and play — Qwiic/STEMMA cable or 3 wires, library example works first time</t>
        </is>
      </c>
    </row>
    <row r="865" outlineLevel="1" ht="25" customHeight="1">
      <c r="A865" s="45" t="inlineStr">
        <is>
          <t>HOW</t>
        </is>
      </c>
      <c r="B865" s="46" t="inlineStr">
        <is>
          <t>Two thermopile elements behind a faceted lens; a moving warm body shifts heat from one element to the other, producing a difference signal. Sees motion, not stillness.</t>
        </is>
      </c>
    </row>
    <row r="866" outlineLevel="1" ht="49" customHeight="1">
      <c r="A866" s="45" t="inlineStr">
        <is>
          <t>WHAT</t>
        </is>
      </c>
      <c r="B866" s="47" t="inlineStr">
        <is>
          <t>It senses CHANGE in infrared across its lens segments, not presence — so a person sitting still becomes invisible within seconds. This is the defining limitation and the reason mmWave replaced it. Sunlight tracking across the lens, warm air from a vent, a radiator cycling, and pets all trigger it. Cheap modules are electrically noisy and false-trigger on their own supply, so add a capacitor at the module's VCC. It cannot see through glass at all.</t>
        </is>
      </c>
    </row>
    <row r="867" outlineLevel="1" ht="18" customHeight="1">
      <c r="A867" s="45" t="inlineStr">
        <is>
          <t>COMMON</t>
        </is>
      </c>
      <c r="B867" s="46" t="inlineStr">
        <is>
          <t>Motion lights, security triggers, wildlife camera wake, energy-saving occupancy.</t>
        </is>
      </c>
    </row>
    <row r="868" outlineLevel="1" ht="25" customHeight="1">
      <c r="A868" s="45" t="inlineStr">
        <is>
          <t>INVENTION</t>
        </is>
      </c>
      <c r="B868" s="48" t="inlineStr">
        <is>
          <t>The classic failure (PIR can't see you sitting still) is the lesson: pair with mmWave and you've built modern 'presence' — the upgrade every smart home needs.</t>
        </is>
      </c>
    </row>
    <row r="869" outlineLevel="1" ht="21" customHeight="1">
      <c r="A869" s="45" t="inlineStr">
        <is>
          <t>SUBSTITUT</t>
        </is>
      </c>
      <c r="B869" s="46" t="inlineStr">
        <is>
          <t>True presence including stillness: LD2410. Better optics and specs: Panasonic EKMC. Directional counting: VL53L1X.</t>
        </is>
      </c>
    </row>
    <row r="870" outlineLevel="1" ht="16" customHeight="1">
      <c r="A870" s="45" t="inlineStr">
        <is>
          <t>PAIRS</t>
        </is>
      </c>
      <c r="B870" s="46" t="inlineStr">
        <is>
          <t>LD2410 mmWave for true presence, deep-sleep wake source</t>
        </is>
      </c>
    </row>
    <row r="871" outlineLevel="1" ht="15" customHeight="1">
      <c r="A871" s="45" t="inlineStr">
        <is>
          <t>KEY</t>
        </is>
      </c>
      <c r="B871" s="46" t="inlineStr">
        <is>
          <t>Adjustable sensitivity/hold, 120° cone</t>
        </is>
      </c>
    </row>
    <row r="872" outlineLevel="1" ht="28" customHeight="1">
      <c r="A872" s="45" t="inlineStr">
        <is>
          <t>specs</t>
        </is>
      </c>
      <c r="B872" s="49" t="inlineStr">
        <is>
          <t>Range: ~7 m, 120° cone   Rate: Event-driven, with an adjustable hold time   Calibration: None   Environment: Indoor   Lifecycle: Active   Maturity: Excellent   ESP32: Output is typically 3.3V on 5V-powered modules — verify yours before wiring</t>
        </is>
      </c>
    </row>
    <row r="873" outlineLevel="1" ht="16" customHeight="1">
      <c r="A873" s="45" t="inlineStr">
        <is>
          <t>buy</t>
        </is>
      </c>
      <c r="B873" s="49" t="inlineStr">
        <is>
          <t>AE · AMZ · SF · CE · DFR   |   boards: Classic dome module   |   lib: digitalRead   [High, 2026-07]</t>
        </is>
      </c>
    </row>
    <row r="874" outlineLevel="1" ht="36" customHeight="1">
      <c r="A874" s="50" t="inlineStr">
        <is>
          <t>unlocks</t>
        </is>
      </c>
      <c r="B874" s="51" t="inlineStr">
        <is>
          <t>Is anyone here?  •  Has someone entered who shouldn't have?  •  Did something cross this line?  •  Did they come in, or go out?</t>
        </is>
      </c>
    </row>
    <row r="876" ht="22" customHeight="1">
      <c r="A876" s="54" t="inlineStr">
        <is>
          <t>S066</t>
        </is>
      </c>
      <c r="B876" s="55" t="inlineStr">
        <is>
          <t>AM312 mini PIR   ·   AM312</t>
        </is>
      </c>
    </row>
    <row r="877" outlineLevel="1" ht="15" customHeight="1">
      <c r="A877" s="45" t="inlineStr">
        <is>
          <t>Category</t>
        </is>
      </c>
      <c r="B877" s="12" t="inlineStr">
        <is>
          <t>Presence &amp; Occupancy › PIR (passive infrared)</t>
        </is>
      </c>
      <c r="E877" s="45" t="inlineStr">
        <is>
          <t>Measures</t>
        </is>
      </c>
      <c r="F877" s="12" t="inlineStr">
        <is>
          <t>Motion, 3-5m, in a thumbnail package at 3.3V</t>
        </is>
      </c>
    </row>
    <row r="878" outlineLevel="1" ht="15" customHeight="1">
      <c r="A878" s="45" t="inlineStr">
        <is>
          <t>Modality</t>
        </is>
      </c>
      <c r="B878" s="12" t="inlineStr">
        <is>
          <t>—</t>
        </is>
      </c>
      <c r="E878" s="45" t="inlineStr">
        <is>
          <t>Interface</t>
        </is>
      </c>
      <c r="F878" s="12" t="inlineStr">
        <is>
          <t>Digital</t>
        </is>
      </c>
    </row>
    <row r="879" outlineLevel="1" ht="15" customHeight="1">
      <c r="A879" s="45" t="inlineStr">
        <is>
          <t>Supply</t>
        </is>
      </c>
      <c r="B879" s="12" t="inlineStr">
        <is>
          <t>2.7-12V</t>
        </is>
      </c>
      <c r="E879" s="45" t="inlineStr">
        <is>
          <t>Price</t>
        </is>
      </c>
      <c r="F879" s="12" t="inlineStr">
        <is>
          <t>$2  ($)</t>
        </is>
      </c>
    </row>
    <row r="880" outlineLevel="1" ht="15" customHeight="1">
      <c r="A880" s="45" t="inlineStr">
        <is>
          <t>Difficulty</t>
        </is>
      </c>
      <c r="B880" s="12" t="inlineStr">
        <is>
          <t>1 — Plug and play — Qwiic/STEMMA cable or 3 wires, library example works first time</t>
        </is>
      </c>
    </row>
    <row r="881" outlineLevel="1" ht="20" customHeight="1">
      <c r="A881" s="45" t="inlineStr">
        <is>
          <t>HOW</t>
        </is>
      </c>
      <c r="B881" s="46" t="inlineStr">
        <is>
          <t>Miniature digital PIR that runs straight off 3.3V at 15µA — the PIR you embed in tiny battery devices.</t>
        </is>
      </c>
    </row>
    <row r="882" outlineLevel="1" ht="18" customHeight="1">
      <c r="A882" s="45" t="inlineStr">
        <is>
          <t>COMMON</t>
        </is>
      </c>
      <c r="B882" s="46" t="inlineStr">
        <is>
          <t>Battery doorbell cams, drawer lights, mailbox alerts, wearable proximity wake.</t>
        </is>
      </c>
    </row>
    <row r="883" outlineLevel="1" ht="20" customHeight="1">
      <c r="A883" s="45" t="inlineStr">
        <is>
          <t>INVENTION</t>
        </is>
      </c>
      <c r="B883" s="48" t="inlineStr">
        <is>
          <t>Mailbox flag 2.0: AM312 + ESP32-C3 deep sleep = months on a coin-ish cell, instant 'mail arrived' push.</t>
        </is>
      </c>
    </row>
    <row r="884" outlineLevel="1" ht="15" customHeight="1">
      <c r="A884" s="45" t="inlineStr">
        <is>
          <t>PAIRS</t>
        </is>
      </c>
      <c r="B884" s="46" t="inlineStr">
        <is>
          <t>Deep sleep EXT0 wake, ESP-NOW burst transmit</t>
        </is>
      </c>
    </row>
    <row r="885" outlineLevel="1" ht="15" customHeight="1">
      <c r="A885" s="45" t="inlineStr">
        <is>
          <t>KEY</t>
        </is>
      </c>
      <c r="B885" s="46" t="inlineStr">
        <is>
          <t>Fixed sensitivity, small lens</t>
        </is>
      </c>
    </row>
    <row r="886" outlineLevel="1" ht="16" customHeight="1">
      <c r="A886" s="45" t="inlineStr">
        <is>
          <t>buy</t>
        </is>
      </c>
      <c r="B886" s="49" t="inlineStr">
        <is>
          <t>AE · AMZ   |   boards: 3-pin micro module   |   lib: digitalRead   [High]</t>
        </is>
      </c>
    </row>
    <row r="888" ht="22" customHeight="1">
      <c r="A888" s="64" t="inlineStr">
        <is>
          <t>S067</t>
        </is>
      </c>
      <c r="B888" s="65" t="inlineStr">
        <is>
          <t>LD2410 mmWave presence   ·   HLK-LD2410B/C</t>
        </is>
      </c>
    </row>
    <row r="889" outlineLevel="1" ht="15" customHeight="1">
      <c r="A889" s="45" t="inlineStr">
        <is>
          <t>Category</t>
        </is>
      </c>
      <c r="B889" s="12" t="inlineStr">
        <is>
          <t>Presence &amp; Occupancy › mmWave radar</t>
        </is>
      </c>
      <c r="E889" s="45" t="inlineStr">
        <is>
          <t>Measures</t>
        </is>
      </c>
      <c r="F889" s="12" t="inlineStr">
        <is>
          <t>Human presence (even motionless) + distance, 0-6m</t>
        </is>
      </c>
    </row>
    <row r="890" outlineLevel="1" ht="15" customHeight="1">
      <c r="A890" s="45" t="inlineStr">
        <is>
          <t>Modality</t>
        </is>
      </c>
      <c r="B890" s="12" t="inlineStr">
        <is>
          <t>RF</t>
        </is>
      </c>
      <c r="E890" s="45" t="inlineStr">
        <is>
          <t>Interface</t>
        </is>
      </c>
      <c r="F890" s="12" t="inlineStr">
        <is>
          <t>UART</t>
        </is>
      </c>
    </row>
    <row r="891" outlineLevel="1" ht="15" customHeight="1">
      <c r="A891" s="45" t="inlineStr">
        <is>
          <t>Supply</t>
        </is>
      </c>
      <c r="B891" s="12" t="inlineStr">
        <is>
          <t>5V (3.3V logic)</t>
        </is>
      </c>
      <c r="E891" s="45" t="inlineStr">
        <is>
          <t>Price</t>
        </is>
      </c>
      <c r="F891" s="12" t="inlineStr">
        <is>
          <t>$5  ($$)</t>
        </is>
      </c>
    </row>
    <row r="892" outlineLevel="1" ht="15" customHeight="1">
      <c r="A892" s="45" t="inlineStr">
        <is>
          <t>Difficulty</t>
        </is>
      </c>
      <c r="B892" s="12" t="inlineStr">
        <is>
          <t>2 — Easy — breadboard wiring, a well-documented library, no analog thought needed</t>
        </is>
      </c>
    </row>
    <row r="893" outlineLevel="1" ht="25" customHeight="1">
      <c r="A893" s="45" t="inlineStr">
        <is>
          <t>HOW</t>
        </is>
      </c>
      <c r="B893" s="46" t="inlineStr">
        <is>
          <t>24GHz radar detects the micro-motion of breathing — it knows a still, sleeping human is present where PIR sees an empty room. Outputs presence + distance over UART.</t>
        </is>
      </c>
    </row>
    <row r="894" outlineLevel="1" ht="56" customHeight="1">
      <c r="A894" s="45" t="inlineStr">
        <is>
          <t>WHAT</t>
        </is>
      </c>
      <c r="B894" s="47" t="inlineStr">
        <is>
          <t>It detects the micro-motion of breathing, which means it also detects anything else that moves microscopically: ceiling fans, moving curtains, swaying plants, rain on a window, and a washing machine two rooms away. Critically, 24GHz passes through plasterboard, so at default sensitivity it happily detects your neighbour or someone in the hallway — the distance gates are not optional, they are the entire configuration task. Metal surfaces cause reflections that create phantom targets. Expect to re-tune after moving furniture.</t>
        </is>
      </c>
    </row>
    <row r="895" outlineLevel="1" ht="19" customHeight="1">
      <c r="A895" s="45" t="inlineStr">
        <is>
          <t>COMMON</t>
        </is>
      </c>
      <c r="B895" s="46" t="inlineStr">
        <is>
          <t>Lights that never strand you in the dark, desk-occupancy, sleep presence, bathroom fans.</t>
        </is>
      </c>
    </row>
    <row r="896" outlineLevel="1" ht="25" customHeight="1">
      <c r="A896" s="45" t="inlineStr">
        <is>
          <t>INVENTION</t>
        </is>
      </c>
      <c r="B896" s="48" t="inlineStr">
        <is>
          <t>The room finally knows you're reading quietly. Per-room presence at $5 makes whole-home true occupancy affordable — the single highest-value smart-home sensor today.</t>
        </is>
      </c>
    </row>
    <row r="897" outlineLevel="1" ht="20" customHeight="1">
      <c r="A897" s="45" t="inlineStr">
        <is>
          <t>SUBSTITUT</t>
        </is>
      </c>
      <c r="B897" s="46" t="inlineStr">
        <is>
          <t>Cheaper motion-only: PIR. Multi-target with coordinates: LD2450. Vitals and fall detection: MR60BHA2/FDA2.</t>
        </is>
      </c>
    </row>
    <row r="898" outlineLevel="1" ht="16" customHeight="1">
      <c r="A898" s="45" t="inlineStr">
        <is>
          <t>PAIRS</t>
        </is>
      </c>
      <c r="B898" s="46" t="inlineStr">
        <is>
          <t>ESPHome + Home Assistant, BH1750 to gate by darkness</t>
        </is>
      </c>
    </row>
    <row r="899" outlineLevel="1" ht="16" customHeight="1">
      <c r="A899" s="45" t="inlineStr">
        <is>
          <t>KEY</t>
        </is>
      </c>
      <c r="B899" s="46" t="inlineStr">
        <is>
          <t>Static + moving targets, distance gates, app-tunable</t>
        </is>
      </c>
    </row>
    <row r="900" outlineLevel="1" ht="26" customHeight="1">
      <c r="A900" s="45" t="inlineStr">
        <is>
          <t>specs</t>
        </is>
      </c>
      <c r="B900" s="49" t="inlineStr">
        <is>
          <t>Range: 0-6 m presence, with configurable distance gates   Rate: ~10 Hz   Calibration: One-point   Environment: Indoor   Lifecycle: Active   Maturity: Good   ESP32: Any variant with a spare UART; ESPHome has a mature component</t>
        </is>
      </c>
    </row>
    <row r="901" outlineLevel="1" ht="16" customHeight="1">
      <c r="A901" s="45" t="inlineStr">
        <is>
          <t>buy</t>
        </is>
      </c>
      <c r="B901" s="49" t="inlineStr">
        <is>
          <t>AE · AMZ   |   boards: HLK-LD2410B (BLE config version)   |   lib: MyLD2410, ESPHome ld2410   [High, 2026-07]</t>
        </is>
      </c>
    </row>
    <row r="902" outlineLevel="1" ht="45" customHeight="1">
      <c r="A902" s="50" t="inlineStr">
        <is>
          <t>unlocks</t>
        </is>
      </c>
      <c r="B902" s="51" t="inlineStr">
        <is>
          <t>Is anyone here?  •  Is someone still here, sitting perfectly still?  •  Whereabouts in the room are they?  •  Are they asleep, and how well?  •  Has nobody moved for worryingly long?  •  How long has this desk/room/seat been in use?</t>
        </is>
      </c>
    </row>
    <row r="904" ht="22" customHeight="1">
      <c r="A904" s="54" t="inlineStr">
        <is>
          <t>S068</t>
        </is>
      </c>
      <c r="B904" s="55" t="inlineStr">
        <is>
          <t>LD2450 multi-target tracking radar   ·   HLK-LD2450</t>
        </is>
      </c>
    </row>
    <row r="905" outlineLevel="1" ht="15" customHeight="1">
      <c r="A905" s="45" t="inlineStr">
        <is>
          <t>Category</t>
        </is>
      </c>
      <c r="B905" s="12" t="inlineStr">
        <is>
          <t>Presence &amp; Occupancy › mmWave radar</t>
        </is>
      </c>
      <c r="E905" s="45" t="inlineStr">
        <is>
          <t>Measures</t>
        </is>
      </c>
      <c r="F905" s="12" t="inlineStr">
        <is>
          <t>X/Y position + speed of up to 3 people, 6m</t>
        </is>
      </c>
    </row>
    <row r="906" outlineLevel="1" ht="15" customHeight="1">
      <c r="A906" s="45" t="inlineStr">
        <is>
          <t>Modality</t>
        </is>
      </c>
      <c r="B906" s="12" t="inlineStr">
        <is>
          <t>—</t>
        </is>
      </c>
      <c r="E906" s="45" t="inlineStr">
        <is>
          <t>Interface</t>
        </is>
      </c>
      <c r="F906" s="12" t="inlineStr">
        <is>
          <t>UART</t>
        </is>
      </c>
    </row>
    <row r="907" outlineLevel="1" ht="15" customHeight="1">
      <c r="A907" s="45" t="inlineStr">
        <is>
          <t>Supply</t>
        </is>
      </c>
      <c r="B907" s="12" t="inlineStr">
        <is>
          <t>5V</t>
        </is>
      </c>
      <c r="E907" s="45" t="inlineStr">
        <is>
          <t>Price</t>
        </is>
      </c>
      <c r="F907" s="12" t="inlineStr">
        <is>
          <t>$12  ($$)</t>
        </is>
      </c>
    </row>
    <row r="908" outlineLevel="1" ht="15" customHeight="1">
      <c r="A908" s="45" t="inlineStr">
        <is>
          <t>Difficulty</t>
        </is>
      </c>
      <c r="B908" s="12" t="inlineStr">
        <is>
          <t>3 — Some skill — calibration, level shifting, timing, or datasheet reading required</t>
        </is>
      </c>
    </row>
    <row r="909" outlineLevel="1" ht="24" customHeight="1">
      <c r="A909" s="45" t="inlineStr">
        <is>
          <t>HOW</t>
        </is>
      </c>
      <c r="B909" s="46" t="inlineStr">
        <is>
          <t>A 24GHz radar with angle resolution: streams live coordinates of up to three moving targets — a privacy-preserving people tracker on one tiny board.</t>
        </is>
      </c>
    </row>
    <row r="910" outlineLevel="1" ht="19" customHeight="1">
      <c r="A910" s="45" t="inlineStr">
        <is>
          <t>COMMON</t>
        </is>
      </c>
      <c r="B910" s="46" t="inlineStr">
        <is>
          <t>Room-zone automation (which side of the room), queue analytics, interactive exhibits.</t>
        </is>
      </c>
    </row>
    <row r="911" outlineLevel="1" ht="23" customHeight="1">
      <c r="A911" s="45" t="inlineStr">
        <is>
          <t>INVENTION</t>
        </is>
      </c>
      <c r="B911" s="48" t="inlineStr">
        <is>
          <t>Define invisible 'zones' in a room (couch, desk, door) and trigger per-zone scenes — or art that follows specific visitors through a gallery.</t>
        </is>
      </c>
    </row>
    <row r="912" outlineLevel="1" ht="15" customHeight="1">
      <c r="A912" s="45" t="inlineStr">
        <is>
          <t>PAIRS</t>
        </is>
      </c>
      <c r="B912" s="46" t="inlineStr">
        <is>
          <t>MQTT zone events, projector/DMX lighting</t>
        </is>
      </c>
    </row>
    <row r="913" outlineLevel="1" ht="15" customHeight="1">
      <c r="A913" s="45" t="inlineStr">
        <is>
          <t>KEY</t>
        </is>
      </c>
      <c r="B913" s="46" t="inlineStr">
        <is>
          <t>±75° azimuth, 3 targets, 10Hz XY+velocity</t>
        </is>
      </c>
    </row>
    <row r="914" outlineLevel="1" ht="16" customHeight="1">
      <c r="A914" s="45" t="inlineStr">
        <is>
          <t>buy</t>
        </is>
      </c>
      <c r="B914" s="49" t="inlineStr">
        <is>
          <t>AE · AMZ   |   boards: HLK-LD2450   |   lib: ESPHome custom, community parsers   [High]</t>
        </is>
      </c>
    </row>
    <row r="916" ht="22" customHeight="1">
      <c r="A916" s="54" t="inlineStr">
        <is>
          <t>S069</t>
        </is>
      </c>
      <c r="B916" s="55" t="inlineStr">
        <is>
          <t>Seeed MR60BHA2 vital-sign radar   ·   MR60BHA2 / MR60FDA2</t>
        </is>
      </c>
    </row>
    <row r="917" outlineLevel="1" ht="15" customHeight="1">
      <c r="A917" s="45" t="inlineStr">
        <is>
          <t>Category</t>
        </is>
      </c>
      <c r="B917" s="12" t="inlineStr">
        <is>
          <t>Presence &amp; Occupancy › mmWave radar (60GHz)</t>
        </is>
      </c>
      <c r="E917" s="45" t="inlineStr">
        <is>
          <t>Measures</t>
        </is>
      </c>
      <c r="F917" s="12" t="inlineStr">
        <is>
          <t>Breathing &amp; heart rate at distance / fall detection</t>
        </is>
      </c>
    </row>
    <row r="918" outlineLevel="1" ht="15" customHeight="1">
      <c r="A918" s="45" t="inlineStr">
        <is>
          <t>Modality</t>
        </is>
      </c>
      <c r="B918" s="12" t="inlineStr">
        <is>
          <t>—</t>
        </is>
      </c>
      <c r="E918" s="45" t="inlineStr">
        <is>
          <t>Interface</t>
        </is>
      </c>
      <c r="F918" s="12" t="inlineStr">
        <is>
          <t>UART</t>
        </is>
      </c>
    </row>
    <row r="919" outlineLevel="1" ht="15" customHeight="1">
      <c r="A919" s="45" t="inlineStr">
        <is>
          <t>Supply</t>
        </is>
      </c>
      <c r="B919" s="12" t="inlineStr">
        <is>
          <t>5V</t>
        </is>
      </c>
      <c r="E919" s="45" t="inlineStr">
        <is>
          <t>Price</t>
        </is>
      </c>
      <c r="F919" s="12" t="inlineStr">
        <is>
          <t>$25  ($$$)</t>
        </is>
      </c>
    </row>
    <row r="920" outlineLevel="1" ht="15" customHeight="1">
      <c r="A920" s="45" t="inlineStr">
        <is>
          <t>Difficulty</t>
        </is>
      </c>
      <c r="B920" s="12" t="inlineStr">
        <is>
          <t>3 — Some skill — calibration, level shifting, timing, or datasheet reading required</t>
        </is>
      </c>
    </row>
    <row r="921" outlineLevel="1" ht="23" customHeight="1">
      <c r="A921" s="45" t="inlineStr">
        <is>
          <t>HOW</t>
        </is>
      </c>
      <c r="B921" s="46" t="inlineStr">
        <is>
          <t>60GHz FMCW radar resolves chest movement of fractions of a millimetre — contactless respiration and heartbeat, or (FDA2 firmware) fall events.</t>
        </is>
      </c>
    </row>
    <row r="922" outlineLevel="1" ht="20" customHeight="1">
      <c r="A922" s="45" t="inlineStr">
        <is>
          <t>COMMON</t>
        </is>
      </c>
      <c r="B922" s="46" t="inlineStr">
        <is>
          <t>Sleep/respiration monitoring without wearables, elder fall alerts, baby breathing comfort monitors.</t>
        </is>
      </c>
    </row>
    <row r="923" outlineLevel="1" ht="23" customHeight="1">
      <c r="A923" s="45" t="inlineStr">
        <is>
          <t>INVENTION</t>
        </is>
      </c>
      <c r="B923" s="48" t="inlineStr">
        <is>
          <t>A bedside 'nothing to wear' sleep lab: respiration + presence + LD2410 motion + SCD41 CO2 reconstructs sleep quality with zero contact.</t>
        </is>
      </c>
    </row>
    <row r="924" outlineLevel="1" ht="16" customHeight="1">
      <c r="A924" s="45" t="inlineStr">
        <is>
          <t>PAIRS</t>
        </is>
      </c>
      <c r="B924" s="46" t="inlineStr">
        <is>
          <t>SCD41 + VEML7700 for a sleep-environment station</t>
        </is>
      </c>
    </row>
    <row r="925" outlineLevel="1" ht="16" customHeight="1">
      <c r="A925" s="45" t="inlineStr">
        <is>
          <t>KEY</t>
        </is>
      </c>
      <c r="B925" s="46" t="inlineStr">
        <is>
          <t>Breath 10-25bpm, heart 60-100bpm class, 1.5m optimal</t>
        </is>
      </c>
    </row>
    <row r="926" outlineLevel="1" ht="16" customHeight="1">
      <c r="A926" s="45" t="inlineStr">
        <is>
          <t>buy</t>
        </is>
      </c>
      <c r="B926" s="49" t="inlineStr">
        <is>
          <t>SS · AE   |   boards: Seeed MR60BHA2 kit (XIAO ESP32-C6 carrier)   |   lib: Seeed Arduino libs, ESPHome   [High]</t>
        </is>
      </c>
    </row>
    <row r="928" ht="22" customHeight="1">
      <c r="A928" s="54" t="inlineStr">
        <is>
          <t>S070</t>
        </is>
      </c>
      <c r="B928" s="55" t="inlineStr">
        <is>
          <t>RCWL-0516 doppler radar   ·   RCWL-0516</t>
        </is>
      </c>
    </row>
    <row r="929" outlineLevel="1" ht="15" customHeight="1">
      <c r="A929" s="45" t="inlineStr">
        <is>
          <t>Category</t>
        </is>
      </c>
      <c r="B929" s="12" t="inlineStr">
        <is>
          <t>Presence &amp; Occupancy › Microwave doppler</t>
        </is>
      </c>
      <c r="E929" s="45" t="inlineStr">
        <is>
          <t>Measures</t>
        </is>
      </c>
      <c r="F929" s="12" t="inlineStr">
        <is>
          <t>Motion through thin walls/plastic, ~5-7m sphere</t>
        </is>
      </c>
    </row>
    <row r="930" outlineLevel="1" ht="15" customHeight="1">
      <c r="A930" s="45" t="inlineStr">
        <is>
          <t>Modality</t>
        </is>
      </c>
      <c r="B930" s="12" t="inlineStr">
        <is>
          <t>—</t>
        </is>
      </c>
      <c r="E930" s="45" t="inlineStr">
        <is>
          <t>Interface</t>
        </is>
      </c>
      <c r="F930" s="12" t="inlineStr">
        <is>
          <t>Digital</t>
        </is>
      </c>
    </row>
    <row r="931" outlineLevel="1" ht="15" customHeight="1">
      <c r="A931" s="45" t="inlineStr">
        <is>
          <t>Supply</t>
        </is>
      </c>
      <c r="B931" s="12" t="inlineStr">
        <is>
          <t>4-28V</t>
        </is>
      </c>
      <c r="E931" s="45" t="inlineStr">
        <is>
          <t>Price</t>
        </is>
      </c>
      <c r="F931" s="12" t="inlineStr">
        <is>
          <t>$1.2  ($)</t>
        </is>
      </c>
    </row>
    <row r="932" outlineLevel="1" ht="15" customHeight="1">
      <c r="A932" s="45" t="inlineStr">
        <is>
          <t>Difficulty</t>
        </is>
      </c>
      <c r="B932" s="12" t="inlineStr">
        <is>
          <t>1 — Plug and play — Qwiic/STEMMA cable or 3 wires, library example works first time</t>
        </is>
      </c>
    </row>
    <row r="933" outlineLevel="1" ht="25" customHeight="1">
      <c r="A933" s="45" t="inlineStr">
        <is>
          <t>HOW</t>
        </is>
      </c>
      <c r="B933" s="46" t="inlineStr">
        <is>
          <t>A 3.18GHz oscillator leaks RF and mixes the reflection; moving objects shift the frequency (doppler) and it outputs HIGH. Sees through plastic, glass, thin drywall.</t>
        </is>
      </c>
    </row>
    <row r="934" outlineLevel="1" ht="18" customHeight="1">
      <c r="A934" s="45" t="inlineStr">
        <is>
          <t>COMMON</t>
        </is>
      </c>
      <c r="B934" s="46" t="inlineStr">
        <is>
          <t>Hidden motion sensing inside enclosures/behind panels, garage/attic monitors.</t>
        </is>
      </c>
    </row>
    <row r="935" outlineLevel="1" ht="23" customHeight="1">
      <c r="A935" s="45" t="inlineStr">
        <is>
          <t>INVENTION</t>
        </is>
      </c>
      <c r="B935" s="48" t="inlineStr">
        <is>
          <t>Sensors invisible by design: hide it INSIDE a wooden sculpture, lamp base or picture frame — motion sensing with zero visible hardware.</t>
        </is>
      </c>
    </row>
    <row r="936" outlineLevel="1" ht="16" customHeight="1">
      <c r="A936" s="45" t="inlineStr">
        <is>
          <t>PAIRS</t>
        </is>
      </c>
      <c r="B936" s="46" t="inlineStr">
        <is>
          <t>WS2812 inside same enclosure for responsive objects</t>
        </is>
      </c>
    </row>
    <row r="937" outlineLevel="1" ht="16" customHeight="1">
      <c r="A937" s="45" t="inlineStr">
        <is>
          <t>KEY</t>
        </is>
      </c>
      <c r="B937" s="46" t="inlineStr">
        <is>
          <t>Omnidirectional-ish; triggers on any motion incl. pets/fans</t>
        </is>
      </c>
    </row>
    <row r="938" outlineLevel="1" ht="16" customHeight="1">
      <c r="A938" s="45" t="inlineStr">
        <is>
          <t>buy</t>
        </is>
      </c>
      <c r="B938" s="49" t="inlineStr">
        <is>
          <t>AE · AMZ   |   boards: Bare 5-pin board   |   lib: digitalRead   [High]</t>
        </is>
      </c>
    </row>
    <row r="940" ht="22" customHeight="1">
      <c r="A940" s="43" t="inlineStr">
        <is>
          <t>S071</t>
        </is>
      </c>
      <c r="B940" s="44" t="inlineStr">
        <is>
          <t>Grid-EYE AMG8833 thermal array   ·   AMG8833</t>
        </is>
      </c>
    </row>
    <row r="941" outlineLevel="1" ht="15" customHeight="1">
      <c r="A941" s="45" t="inlineStr">
        <is>
          <t>Category</t>
        </is>
      </c>
      <c r="B941" s="12" t="inlineStr">
        <is>
          <t>Presence &amp; Occupancy › Thermopile array</t>
        </is>
      </c>
      <c r="E941" s="45" t="inlineStr">
        <is>
          <t>Measures</t>
        </is>
      </c>
      <c r="F941" s="12" t="inlineStr">
        <is>
          <t>8x8 grid of temperatures (64 thermal pixels), 0-80°C</t>
        </is>
      </c>
    </row>
    <row r="942" outlineLevel="1" ht="15" customHeight="1">
      <c r="A942" s="45" t="inlineStr">
        <is>
          <t>Modality</t>
        </is>
      </c>
      <c r="B942" s="12" t="inlineStr">
        <is>
          <t>Thermal</t>
        </is>
      </c>
      <c r="E942" s="45" t="inlineStr">
        <is>
          <t>Interface</t>
        </is>
      </c>
      <c r="F942" s="12" t="inlineStr">
        <is>
          <t>I2C</t>
        </is>
      </c>
    </row>
    <row r="943" outlineLevel="1" ht="15" customHeight="1">
      <c r="A943" s="45" t="inlineStr">
        <is>
          <t>Supply</t>
        </is>
      </c>
      <c r="B943" s="12" t="inlineStr">
        <is>
          <t>3.3-5V</t>
        </is>
      </c>
      <c r="E943" s="45" t="inlineStr">
        <is>
          <t>Price</t>
        </is>
      </c>
      <c r="F943" s="12" t="inlineStr">
        <is>
          <t>$35  ($$$)</t>
        </is>
      </c>
    </row>
    <row r="944" outlineLevel="1" ht="15" customHeight="1">
      <c r="A944" s="45" t="inlineStr">
        <is>
          <t>Difficulty</t>
        </is>
      </c>
      <c r="B944" s="12" t="inlineStr">
        <is>
          <t>2 — Easy — breadboard wiring, a well-documented library, no analog thought needed</t>
        </is>
      </c>
    </row>
    <row r="945" outlineLevel="1" ht="23" customHeight="1">
      <c r="A945" s="45" t="inlineStr">
        <is>
          <t>HOW</t>
        </is>
      </c>
      <c r="B945" s="46" t="inlineStr">
        <is>
          <t>64 thermopiles image heat at 10fps — enough resolution to count people and locate warm bodies, deliberately too coarse to identify anyone.</t>
        </is>
      </c>
    </row>
    <row r="946" outlineLevel="1" ht="50" customHeight="1">
      <c r="A946" s="45" t="inlineStr">
        <is>
          <t>WHAT</t>
        </is>
      </c>
      <c r="B946" s="47" t="inlineStr">
        <is>
          <t>Sixty-four pixels is deliberately too coarse to identify anyone, which is the privacy advantage — but it also means two people standing close merge into one blob. Anything warm competes: a radiator, a laptop, a sunlit patch of floor, a cup of tea. Absolute accuracy is poor; the useful signal is the CONTRAST between a body and its background, which collapses when the room approaches skin temperature. Note the 0x69 default collides with IMUs on the same bus.</t>
        </is>
      </c>
    </row>
    <row r="947" outlineLevel="1" ht="19" customHeight="1">
      <c r="A947" s="45" t="inlineStr">
        <is>
          <t>COMMON</t>
        </is>
      </c>
      <c r="B947" s="46" t="inlineStr">
        <is>
          <t>People counting, pet trackers, stove-hot detection, server hot-spot watch, heat-leak finding.</t>
        </is>
      </c>
    </row>
    <row r="948" outlineLevel="1" ht="22" customHeight="1">
      <c r="A948" s="45" t="inlineStr">
        <is>
          <t>INVENTION</t>
        </is>
      </c>
      <c r="B948" s="48" t="inlineStr">
        <is>
          <t>A 'stove guardian' for memory-care: hot burner + no human pixel for 10 min = alert + smart-plug cutoff. Dignity-preserving safety.</t>
        </is>
      </c>
    </row>
    <row r="949" outlineLevel="1" ht="19" customHeight="1">
      <c r="A949" s="45" t="inlineStr">
        <is>
          <t>SUBSTITUT</t>
        </is>
      </c>
      <c r="B949" s="46" t="inlineStr">
        <is>
          <t>Far more pixels: MLX90640 (768). Cheaper presence: PIR or mmWave. Human-tuned 4x4: Omron D6T.</t>
        </is>
      </c>
    </row>
    <row r="950" outlineLevel="1" ht="16" customHeight="1">
      <c r="A950" s="45" t="inlineStr">
        <is>
          <t>PAIRS</t>
        </is>
      </c>
      <c r="B950" s="46" t="inlineStr">
        <is>
          <t>Smart plug control, mmWave for presence confirmation</t>
        </is>
      </c>
    </row>
    <row r="951" outlineLevel="1" ht="15" customHeight="1">
      <c r="A951" s="45" t="inlineStr">
        <is>
          <t>KEY</t>
        </is>
      </c>
      <c r="B951" s="46" t="inlineStr">
        <is>
          <t>±2.5°C, 60° FOV, 10fps</t>
        </is>
      </c>
    </row>
    <row r="952" outlineLevel="1" ht="28" customHeight="1">
      <c r="A952" s="45" t="inlineStr">
        <is>
          <t>specs</t>
        </is>
      </c>
      <c r="B952" s="49" t="inlineStr">
        <is>
          <t>Range: 0-80°C, 8x8 zones, 60° FOV   Accuracy: ±2.5°C   Rate: 10 Hz   I2C addr: 0x69 (0x68 selectable)   Calibration: One-point   Environment: Indoor   Lifecycle: Active   Maturity: Good   ESP32: Any variant; 64 pixels at 10Hz is light on RAM unlike MLX90640</t>
        </is>
      </c>
    </row>
    <row r="953" outlineLevel="1" ht="16" customHeight="1">
      <c r="A953" s="45" t="inlineStr">
        <is>
          <t>buy</t>
        </is>
      </c>
      <c r="B953" s="49" t="inlineStr">
        <is>
          <t>AF · SF · DK · AE   |   boards: Adafruit 3538, GY-AMG8833   |   lib: Adafruit_AMG88xx   [High, 2026-07]</t>
        </is>
      </c>
    </row>
    <row r="954" outlineLevel="1" ht="45" customHeight="1">
      <c r="A954" s="50" t="inlineStr">
        <is>
          <t>unlocks</t>
        </is>
      </c>
      <c r="B954" s="51" t="inlineStr">
        <is>
          <t>Is anyone here?  •  How many people are in this space?  •  Whereabouts in the room are they?  •  Did someone fall?  •  Was the hob left on with nobody there?  •  Is something running hotter than it should?  •  How hot is that surface?</t>
        </is>
      </c>
    </row>
    <row r="956" ht="22" customHeight="1">
      <c r="A956" s="58" t="inlineStr">
        <is>
          <t>S072</t>
        </is>
      </c>
      <c r="B956" s="59" t="inlineStr">
        <is>
          <t>MPU-6050 6-axis IMU   ·   MPU-6050 (GY-521)</t>
        </is>
      </c>
    </row>
    <row r="957" outlineLevel="1" ht="15" customHeight="1">
      <c r="A957" s="45" t="inlineStr">
        <is>
          <t>Category</t>
        </is>
      </c>
      <c r="B957" s="12" t="inlineStr">
        <is>
          <t>Motion &amp; Vibration › 6-axis accel+gyro</t>
        </is>
      </c>
      <c r="E957" s="45" t="inlineStr">
        <is>
          <t>Measures</t>
        </is>
      </c>
      <c r="F957" s="12" t="inlineStr">
        <is>
          <t>3-axis acceleration + 3-axis rotation rate</t>
        </is>
      </c>
    </row>
    <row r="958" outlineLevel="1" ht="15" customHeight="1">
      <c r="A958" s="45" t="inlineStr">
        <is>
          <t>Modality</t>
        </is>
      </c>
      <c r="B958" s="12" t="inlineStr">
        <is>
          <t>Mechanical</t>
        </is>
      </c>
      <c r="E958" s="45" t="inlineStr">
        <is>
          <t>Interface</t>
        </is>
      </c>
      <c r="F958" s="12" t="inlineStr">
        <is>
          <t>I2C</t>
        </is>
      </c>
    </row>
    <row r="959" outlineLevel="1" ht="15" customHeight="1">
      <c r="A959" s="45" t="inlineStr">
        <is>
          <t>Supply</t>
        </is>
      </c>
      <c r="B959" s="12" t="inlineStr">
        <is>
          <t>3.3-5V (board)</t>
        </is>
      </c>
      <c r="E959" s="45" t="inlineStr">
        <is>
          <t>Price</t>
        </is>
      </c>
      <c r="F959" s="12" t="inlineStr">
        <is>
          <t>$2  ($)</t>
        </is>
      </c>
    </row>
    <row r="960" outlineLevel="1" ht="15" customHeight="1">
      <c r="A960" s="45" t="inlineStr">
        <is>
          <t>Difficulty</t>
        </is>
      </c>
      <c r="B960" s="12" t="inlineStr">
        <is>
          <t>2 — Easy — breadboard wiring, a well-documented library, no analog thought needed</t>
        </is>
      </c>
    </row>
    <row r="961" outlineLevel="1" ht="26" customHeight="1">
      <c r="A961" s="45" t="inlineStr">
        <is>
          <t>HOW</t>
        </is>
      </c>
      <c r="B961" s="46" t="inlineStr">
        <is>
          <t>Micro test-masses deflect with acceleration (capacitive sensing); vibrating elements twist under rotation (Coriolis). The $2 chip behind a decade of self-balancing robots.</t>
        </is>
      </c>
    </row>
    <row r="962" outlineLevel="1" ht="47" customHeight="1">
      <c r="A962" s="45" t="inlineStr">
        <is>
          <t>WHAT</t>
        </is>
      </c>
      <c r="B962" s="47" t="inlineStr">
        <is>
          <t>The gyroscope drifts substantially with temperature and time — integrate it for orientation and your heading will wander within a minute unless you fuse it with the accelerometer. The accelerometer cannot distinguish gravity from linear acceleration, which is the classic beginner trap. It is officially end-of-life and a large share of cheap modules are remarked or counterfeit. Its 0x68 default collides with the DS3231 RTC.</t>
        </is>
      </c>
    </row>
    <row r="963" outlineLevel="1" ht="19" customHeight="1">
      <c r="A963" s="45" t="inlineStr">
        <is>
          <t>COMMON</t>
        </is>
      </c>
      <c r="B963" s="46" t="inlineStr">
        <is>
          <t>Self-balancing robots, gesture wands, vibration logging, tilt alarms, game controllers.</t>
        </is>
      </c>
    </row>
    <row r="964" outlineLevel="1" ht="25" customHeight="1">
      <c r="A964" s="45" t="inlineStr">
        <is>
          <t>INVENTION</t>
        </is>
      </c>
      <c r="B964" s="48" t="inlineStr">
        <is>
          <t>Stick one on anything that moves and you've digitised it: washing machine (cycle detection), door (open/slam/knock), chair (fidget metrics), kite (flight dynamics).</t>
        </is>
      </c>
    </row>
    <row r="965" outlineLevel="1" ht="18" customHeight="1">
      <c r="A965" s="45" t="inlineStr">
        <is>
          <t>SUBSTITUT</t>
        </is>
      </c>
      <c r="B965" s="46" t="inlineStr">
        <is>
          <t>Current equivalent: LSM6DSOX or ICM-42688-P. Orientation solved on-chip: BNO086.</t>
        </is>
      </c>
    </row>
    <row r="966" outlineLevel="1" ht="16" customHeight="1">
      <c r="A966" s="45" t="inlineStr">
        <is>
          <t>PAIRS</t>
        </is>
      </c>
      <c r="B966" s="46" t="inlineStr">
        <is>
          <t>Kalman/Madgwick fusion code, ESP-NOW for wireless wands</t>
        </is>
      </c>
    </row>
    <row r="967" outlineLevel="1" ht="15" customHeight="1">
      <c r="A967" s="45" t="inlineStr">
        <is>
          <t>KEY</t>
        </is>
      </c>
      <c r="B967" s="46" t="inlineStr">
        <is>
          <t>±2-16g, ±250-2000°/s, onboard DMP fusion</t>
        </is>
      </c>
    </row>
    <row r="968" outlineLevel="1" ht="27" customHeight="1">
      <c r="A968" s="45" t="inlineStr">
        <is>
          <t>specs</t>
        </is>
      </c>
      <c r="B968" s="49" t="inlineStr">
        <is>
          <t>Range: ±2-16 g, ±250-2000 °/s   Accuracy: Uncalibrated; significant offset drift   Rate: up to 1 kHz   I2C addr: 0x68 (0x69 with AD0 high)   Calibration: One-point   Environment: Indoor   Lifecycle: EOL   Maturity: Excellent   ESP32: Any variant</t>
        </is>
      </c>
    </row>
    <row r="969" outlineLevel="1" ht="16" customHeight="1">
      <c r="A969" s="45" t="inlineStr">
        <is>
          <t>buy</t>
        </is>
      </c>
      <c r="B969" s="49" t="inlineStr">
        <is>
          <t>AE · AMZ · DFR · CE   |   boards: GY-521   |   lib: MPU6050 (i2cdevlib), Adafruit_MPU6050   [High, 2026-07]</t>
        </is>
      </c>
    </row>
    <row r="970" outlineLevel="1" ht="45" customHeight="1">
      <c r="A970" s="50" t="inlineStr">
        <is>
          <t>unlocks</t>
        </is>
      </c>
      <c r="B970" s="51" t="inlineStr">
        <is>
          <t>Has it been moved or disturbed?  •  Was it dropped, and how hard?  •  Is this level, and by how much is it off?  •  Is it idle, loaded, or jammed?  •  How much have they moved today?  •  What posture is this body in?  •  Which way am I pointing?</t>
        </is>
      </c>
    </row>
    <row r="972" ht="22" customHeight="1">
      <c r="A972" s="54" t="inlineStr">
        <is>
          <t>S073</t>
        </is>
      </c>
      <c r="B972" s="55" t="inlineStr">
        <is>
          <t>LSM6DSOX ML-core IMU   ·   LSM6DSOX / LSM6DS3TR-C</t>
        </is>
      </c>
    </row>
    <row r="973" outlineLevel="1" ht="15" customHeight="1">
      <c r="A973" s="45" t="inlineStr">
        <is>
          <t>Category</t>
        </is>
      </c>
      <c r="B973" s="12" t="inlineStr">
        <is>
          <t>Motion &amp; Vibration › 6-axis accel+gyro</t>
        </is>
      </c>
      <c r="E973" s="45" t="inlineStr">
        <is>
          <t>Measures</t>
        </is>
      </c>
      <c r="F973" s="12" t="inlineStr">
        <is>
          <t>6-axis motion + on-chip machine-learning core</t>
        </is>
      </c>
    </row>
    <row r="974" outlineLevel="1" ht="15" customHeight="1">
      <c r="A974" s="45" t="inlineStr">
        <is>
          <t>Modality</t>
        </is>
      </c>
      <c r="B974" s="12" t="inlineStr">
        <is>
          <t>—</t>
        </is>
      </c>
      <c r="E974" s="45" t="inlineStr">
        <is>
          <t>Interface</t>
        </is>
      </c>
      <c r="F974" s="12" t="inlineStr">
        <is>
          <t>I2C / SPI</t>
        </is>
      </c>
    </row>
    <row r="975" outlineLevel="1" ht="15" customHeight="1">
      <c r="A975" s="45" t="inlineStr">
        <is>
          <t>Supply</t>
        </is>
      </c>
      <c r="B975" s="12" t="inlineStr">
        <is>
          <t>1.7-3.6V</t>
        </is>
      </c>
      <c r="E975" s="45" t="inlineStr">
        <is>
          <t>Price</t>
        </is>
      </c>
      <c r="F975" s="12" t="inlineStr">
        <is>
          <t>$10  ($$)</t>
        </is>
      </c>
    </row>
    <row r="976" outlineLevel="1" ht="15" customHeight="1">
      <c r="A976" s="45" t="inlineStr">
        <is>
          <t>Difficulty</t>
        </is>
      </c>
      <c r="B976" s="12" t="inlineStr">
        <is>
          <t>2 — Easy — breadboard wiring, a well-documented library, no analog thought needed</t>
        </is>
      </c>
    </row>
    <row r="977" outlineLevel="1" ht="24" customHeight="1">
      <c r="A977" s="45" t="inlineStr">
        <is>
          <t>HOW</t>
        </is>
      </c>
      <c r="B977" s="46" t="inlineStr">
        <is>
          <t>Modern ST IMU with a tiny decision-tree engine inside the sensor itself — it can classify activities (walk/run/still) and wake the ESP32 only on events.</t>
        </is>
      </c>
    </row>
    <row r="978" outlineLevel="1" ht="20" customHeight="1">
      <c r="A978" s="45" t="inlineStr">
        <is>
          <t>COMMON</t>
        </is>
      </c>
      <c r="B978" s="46" t="inlineStr">
        <is>
          <t>Wearable activity classification, predictive-maintenance vibration, gesture devices with µA budgets.</t>
        </is>
      </c>
    </row>
    <row r="979" outlineLevel="1" ht="24" customHeight="1">
      <c r="A979" s="45" t="inlineStr">
        <is>
          <t>INVENTION</t>
        </is>
      </c>
      <c r="B979" s="48" t="inlineStr">
        <is>
          <t>Train the in-sensor MLC to spot your dog's scratch-vs-walk-vs-shake on a collar — weeks of battery because the ESP32 sleeps through everything boring.</t>
        </is>
      </c>
    </row>
    <row r="980" outlineLevel="1" ht="16" customHeight="1">
      <c r="A980" s="45" t="inlineStr">
        <is>
          <t>PAIRS</t>
        </is>
      </c>
      <c r="B980" s="46" t="inlineStr">
        <is>
          <t>Deep sleep + MLC interrupt, BLE for collar telemetry</t>
        </is>
      </c>
    </row>
    <row r="981" outlineLevel="1" ht="15" customHeight="1">
      <c r="A981" s="45" t="inlineStr">
        <is>
          <t>KEY</t>
        </is>
      </c>
      <c r="B981" s="46" t="inlineStr">
        <is>
          <t>±2-16g, ±125-2000dps, MLC + FSM engines, FIFO</t>
        </is>
      </c>
    </row>
    <row r="982" outlineLevel="1" ht="16" customHeight="1">
      <c r="A982" s="45" t="inlineStr">
        <is>
          <t>buy</t>
        </is>
      </c>
      <c r="B982" s="49" t="inlineStr">
        <is>
          <t>AF · SF · DK · MO   |   boards: Adafruit 4438, Seeed XIAO IMU   |   lib: Adafruit_LSM6DS, STM32duino MLC examples   [High]</t>
        </is>
      </c>
    </row>
    <row r="984" ht="22" customHeight="1">
      <c r="A984" s="54" t="inlineStr">
        <is>
          <t>S074</t>
        </is>
      </c>
      <c r="B984" s="55" t="inlineStr">
        <is>
          <t>BNO055 fusion IMU   ·   BNO055</t>
        </is>
      </c>
    </row>
    <row r="985" outlineLevel="1" ht="15" customHeight="1">
      <c r="A985" s="45" t="inlineStr">
        <is>
          <t>Category</t>
        </is>
      </c>
      <c r="B985" s="12" t="inlineStr">
        <is>
          <t>Motion &amp; Vibration › 9-axis with onboard fusion</t>
        </is>
      </c>
      <c r="E985" s="45" t="inlineStr">
        <is>
          <t>Measures</t>
        </is>
      </c>
      <c r="F985" s="12" t="inlineStr">
        <is>
          <t>Absolute orientation (Euler/quaternion) ready-made</t>
        </is>
      </c>
    </row>
    <row r="986" outlineLevel="1" ht="15" customHeight="1">
      <c r="A986" s="45" t="inlineStr">
        <is>
          <t>Modality</t>
        </is>
      </c>
      <c r="B986" s="12" t="inlineStr">
        <is>
          <t>—</t>
        </is>
      </c>
      <c r="E986" s="45" t="inlineStr">
        <is>
          <t>Interface</t>
        </is>
      </c>
      <c r="F986" s="12" t="inlineStr">
        <is>
          <t>I2C / UART</t>
        </is>
      </c>
    </row>
    <row r="987" outlineLevel="1" ht="15" customHeight="1">
      <c r="A987" s="45" t="inlineStr">
        <is>
          <t>Supply</t>
        </is>
      </c>
      <c r="B987" s="12" t="inlineStr">
        <is>
          <t>3.3V (5V boards)</t>
        </is>
      </c>
      <c r="E987" s="45" t="inlineStr">
        <is>
          <t>Price</t>
        </is>
      </c>
      <c r="F987" s="12" t="inlineStr">
        <is>
          <t>$25  ($$$)</t>
        </is>
      </c>
    </row>
    <row r="988" outlineLevel="1" ht="15" customHeight="1">
      <c r="A988" s="45" t="inlineStr">
        <is>
          <t>Difficulty</t>
        </is>
      </c>
      <c r="B988" s="12" t="inlineStr">
        <is>
          <t>2 — Easy — breadboard wiring, a well-documented library, no analog thought needed</t>
        </is>
      </c>
    </row>
    <row r="989" outlineLevel="1" ht="24" customHeight="1">
      <c r="A989" s="45" t="inlineStr">
        <is>
          <t>HOW</t>
        </is>
      </c>
      <c r="B989" s="46" t="inlineStr">
        <is>
          <t>9-axis IMU plus an ARM core running Bosch's sensor-fusion firmware — it hands you 'which way am I facing' directly, no quaternion math on your side.</t>
        </is>
      </c>
    </row>
    <row r="990" outlineLevel="1" ht="20" customHeight="1">
      <c r="A990" s="45" t="inlineStr">
        <is>
          <t>COMMON</t>
        </is>
      </c>
      <c r="B990" s="46" t="inlineStr">
        <is>
          <t>Camera gimbals, VR head tracking, robot heading, antenna pointers, physiotherapy angle measurement.</t>
        </is>
      </c>
    </row>
    <row r="991" outlineLevel="1" ht="22" customHeight="1">
      <c r="A991" s="45" t="inlineStr">
        <is>
          <t>INVENTION</t>
        </is>
      </c>
      <c r="B991" s="48" t="inlineStr">
        <is>
          <t>A physio 'range-of-motion coach': strap to a limb, it speaks live joint angles and logs recovery curves between sessions.</t>
        </is>
      </c>
    </row>
    <row r="992" outlineLevel="1" ht="15" customHeight="1">
      <c r="A992" s="45" t="inlineStr">
        <is>
          <t>PAIRS</t>
        </is>
      </c>
      <c r="B992" s="46" t="inlineStr">
        <is>
          <t>DAC/TTS audio feedback, BLE to phone dashboards</t>
        </is>
      </c>
    </row>
    <row r="993" outlineLevel="1" ht="16" customHeight="1">
      <c r="A993" s="45" t="inlineStr">
        <is>
          <t>KEY</t>
        </is>
      </c>
      <c r="B993" s="46" t="inlineStr">
        <is>
          <t>100Hz fused orientation, auto-calibration states</t>
        </is>
      </c>
    </row>
    <row r="994" outlineLevel="1" ht="16" customHeight="1">
      <c r="A994" s="45" t="inlineStr">
        <is>
          <t>buy</t>
        </is>
      </c>
      <c r="B994" s="49" t="inlineStr">
        <is>
          <t>AF · DK · MO · CE   |   boards: Adafruit 4646   |   lib: Adafruit_BNO055   [High]</t>
        </is>
      </c>
    </row>
    <row r="996" ht="22" customHeight="1">
      <c r="A996" s="54" t="inlineStr">
        <is>
          <t>S075</t>
        </is>
      </c>
      <c r="B996" s="55" t="inlineStr">
        <is>
          <t>BNO086 high-perf fusion IMU   ·   BNO086 / BNO085</t>
        </is>
      </c>
    </row>
    <row r="997" outlineLevel="1" ht="15" customHeight="1">
      <c r="A997" s="45" t="inlineStr">
        <is>
          <t>Category</t>
        </is>
      </c>
      <c r="B997" s="12" t="inlineStr">
        <is>
          <t>Motion &amp; Vibration › 9-axis with onboard fusion</t>
        </is>
      </c>
      <c r="E997" s="45" t="inlineStr">
        <is>
          <t>Measures</t>
        </is>
      </c>
      <c r="F997" s="12" t="inlineStr">
        <is>
          <t>Precision orientation + activity classification</t>
        </is>
      </c>
    </row>
    <row r="998" outlineLevel="1" ht="15" customHeight="1">
      <c r="A998" s="45" t="inlineStr">
        <is>
          <t>Modality</t>
        </is>
      </c>
      <c r="B998" s="12" t="inlineStr">
        <is>
          <t>—</t>
        </is>
      </c>
      <c r="E998" s="45" t="inlineStr">
        <is>
          <t>Interface</t>
        </is>
      </c>
      <c r="F998" s="12" t="inlineStr">
        <is>
          <t>I2C / SPI / UART</t>
        </is>
      </c>
    </row>
    <row r="999" outlineLevel="1" ht="15" customHeight="1">
      <c r="A999" s="45" t="inlineStr">
        <is>
          <t>Supply</t>
        </is>
      </c>
      <c r="B999" s="12" t="inlineStr">
        <is>
          <t>1.7-3.6V</t>
        </is>
      </c>
      <c r="E999" s="45" t="inlineStr">
        <is>
          <t>Price</t>
        </is>
      </c>
      <c r="F999" s="12" t="inlineStr">
        <is>
          <t>$22  ($$$)</t>
        </is>
      </c>
    </row>
    <row r="1000" outlineLevel="1" ht="15" customHeight="1">
      <c r="A1000" s="45" t="inlineStr">
        <is>
          <t>Difficulty</t>
        </is>
      </c>
      <c r="B1000" s="12" t="inlineStr">
        <is>
          <t>3 — Some skill — calibration, level shifting, timing, or datasheet reading required</t>
        </is>
      </c>
    </row>
    <row r="1001" outlineLevel="1" ht="24" customHeight="1">
      <c r="A1001" s="45" t="inlineStr">
        <is>
          <t>HOW</t>
        </is>
      </c>
      <c r="B1001" s="46" t="inlineStr">
        <is>
          <t>Hillcrest/CEVA fusion firmware on Bosch hardware — better drift performance than BNO055, plus built-in stability/activity classifiers and step counting.</t>
        </is>
      </c>
    </row>
    <row r="1002" outlineLevel="1" ht="18" customHeight="1">
      <c r="A1002" s="45" t="inlineStr">
        <is>
          <t>COMMON</t>
        </is>
      </c>
      <c r="B1002" s="46" t="inlineStr">
        <is>
          <t>Head-mounted displays, drone/rover navigation, golf/bat/racket swing analysers.</t>
        </is>
      </c>
    </row>
    <row r="1003" outlineLevel="1" ht="22" customHeight="1">
      <c r="A1003" s="45" t="inlineStr">
        <is>
          <t>INVENTION</t>
        </is>
      </c>
      <c r="B1003" s="48" t="inlineStr">
        <is>
          <t>Swing DNA: log a season of racket quaternions and TinyML-classify which stroke produced each — automatic match statistics.</t>
        </is>
      </c>
    </row>
    <row r="1004" outlineLevel="1" ht="15" customHeight="1">
      <c r="A1004" s="45" t="inlineStr">
        <is>
          <t>PAIRS</t>
        </is>
      </c>
      <c r="B1004" s="46" t="inlineStr">
        <is>
          <t>SD logging at 400Hz, TinyML stroke classifier</t>
        </is>
      </c>
    </row>
    <row r="1005" outlineLevel="1" ht="16" customHeight="1">
      <c r="A1005" s="45" t="inlineStr">
        <is>
          <t>KEY</t>
        </is>
      </c>
      <c r="B1005" s="46" t="inlineStr">
        <is>
          <t>±2° heading typ, AR/VR-grade stabilisation outputs</t>
        </is>
      </c>
    </row>
    <row r="1006" outlineLevel="1" ht="16" customHeight="1">
      <c r="A1006" s="45" t="inlineStr">
        <is>
          <t>buy</t>
        </is>
      </c>
      <c r="B1006" s="49" t="inlineStr">
        <is>
          <t>SF · AF · DK · MO   |   boards: SparkFun Qwiic BNO086, Adafruit 4754   |   lib: SparkFun BNO08x, Adafruit BNO08x   [High]</t>
        </is>
      </c>
    </row>
    <row r="1008" ht="22" customHeight="1">
      <c r="A1008" s="58" t="inlineStr">
        <is>
          <t>S076</t>
        </is>
      </c>
      <c r="B1008" s="59" t="inlineStr">
        <is>
          <t>ADXL345 accelerometer   ·   ADXL345</t>
        </is>
      </c>
    </row>
    <row r="1009" outlineLevel="1" ht="15" customHeight="1">
      <c r="A1009" s="45" t="inlineStr">
        <is>
          <t>Category</t>
        </is>
      </c>
      <c r="B1009" s="12" t="inlineStr">
        <is>
          <t>Motion &amp; Vibration › 3-axis accel</t>
        </is>
      </c>
      <c r="E1009" s="45" t="inlineStr">
        <is>
          <t>Measures</t>
        </is>
      </c>
      <c r="F1009" s="12" t="inlineStr">
        <is>
          <t>±16g acceleration with tap/freefall detection</t>
        </is>
      </c>
    </row>
    <row r="1010" outlineLevel="1" ht="15" customHeight="1">
      <c r="A1010" s="45" t="inlineStr">
        <is>
          <t>Modality</t>
        </is>
      </c>
      <c r="B1010" s="12" t="inlineStr">
        <is>
          <t>Mechanical</t>
        </is>
      </c>
      <c r="E1010" s="45" t="inlineStr">
        <is>
          <t>Interface</t>
        </is>
      </c>
      <c r="F1010" s="12" t="inlineStr">
        <is>
          <t>I2C / SPI</t>
        </is>
      </c>
    </row>
    <row r="1011" outlineLevel="1" ht="15" customHeight="1">
      <c r="A1011" s="45" t="inlineStr">
        <is>
          <t>Supply</t>
        </is>
      </c>
      <c r="B1011" s="12" t="inlineStr">
        <is>
          <t>2.0-3.6V</t>
        </is>
      </c>
      <c r="E1011" s="45" t="inlineStr">
        <is>
          <t>Price</t>
        </is>
      </c>
      <c r="F1011" s="12" t="inlineStr">
        <is>
          <t>$3  ($)</t>
        </is>
      </c>
    </row>
    <row r="1012" outlineLevel="1" ht="15" customHeight="1">
      <c r="A1012" s="45" t="inlineStr">
        <is>
          <t>Difficulty</t>
        </is>
      </c>
      <c r="B1012" s="12" t="inlineStr">
        <is>
          <t>1 — Plug and play — Qwiic/STEMMA cable or 3 wires, library example works first time</t>
        </is>
      </c>
    </row>
    <row r="1013" outlineLevel="1" ht="24" customHeight="1">
      <c r="A1013" s="45" t="inlineStr">
        <is>
          <t>HOW</t>
        </is>
      </c>
      <c r="B1013" s="46" t="inlineStr">
        <is>
          <t>Capacitive MEMS accelerometer with clever onboard event engines: single-tap, double-tap, freefall and activity interrupts without CPU involvement.</t>
        </is>
      </c>
    </row>
    <row r="1014" outlineLevel="1" ht="44" customHeight="1">
      <c r="A1014" s="45" t="inlineStr">
        <is>
          <t>WHAT</t>
        </is>
      </c>
      <c r="B1014" s="47" t="inlineStr">
        <is>
          <t>Its onboard tap and freefall engines are threshold-based and fire on anything with the right impulse shape — a slammed door, a dropped tool nearby, a lorry passing. Mounting dominates vibration work: double-sided tape rolls off high frequencies badly, so what you measure is partly the adhesive. At 3.2 kHz it is fine for machine-state detection but too slow for real bearing-defect analysis.</t>
        </is>
      </c>
    </row>
    <row r="1015" outlineLevel="1" ht="18" customHeight="1">
      <c r="A1015" s="45" t="inlineStr">
        <is>
          <t>COMMON</t>
        </is>
      </c>
      <c r="B1015" s="46" t="inlineStr">
        <is>
          <t>Knock/tap interfaces, package-drop logging, washing machine balance, fan vibration.</t>
        </is>
      </c>
    </row>
    <row r="1016" outlineLevel="1" ht="23" customHeight="1">
      <c r="A1016" s="45" t="inlineStr">
        <is>
          <t>INVENTION</t>
        </is>
      </c>
      <c r="B1016" s="48" t="inlineStr">
        <is>
          <t>Knock-code locks (knock pattern = password) on any surface, or shipping 'abuse loggers' that timestamp every drop your parcel suffered.</t>
        </is>
      </c>
    </row>
    <row r="1017" outlineLevel="1" ht="20" customHeight="1">
      <c r="A1017" s="45" t="inlineStr">
        <is>
          <t>SUBSTITUT</t>
        </is>
      </c>
      <c r="B1017" s="46" t="inlineStr">
        <is>
          <t>Higher rate for FFT work: KX132 (25 kHz). Seismic noise floor: ADXL355. Impact to ±200 g: ADXL375.</t>
        </is>
      </c>
    </row>
    <row r="1018" outlineLevel="1" ht="16" customHeight="1">
      <c r="A1018" s="45" t="inlineStr">
        <is>
          <t>PAIRS</t>
        </is>
      </c>
      <c r="B1018" s="46" t="inlineStr">
        <is>
          <t>Deep sleep + interrupt wake, RTC for abuse timestamps</t>
        </is>
      </c>
    </row>
    <row r="1019" outlineLevel="1" ht="15" customHeight="1">
      <c r="A1019" s="45" t="inlineStr">
        <is>
          <t>KEY</t>
        </is>
      </c>
      <c r="B1019" s="46" t="inlineStr">
        <is>
          <t>13-bit, 3200Hz max ODR, FIFO</t>
        </is>
      </c>
    </row>
    <row r="1020" outlineLevel="1" ht="31" customHeight="1">
      <c r="A1020" s="45" t="inlineStr">
        <is>
          <t>specs</t>
        </is>
      </c>
      <c r="B1020" s="49" t="inlineStr">
        <is>
          <t>Range: ±2-16 g   Accuracy: ±0.5% typical   Resolution: 4 mg/LSB (13-bit)   Rate: up to 3.2 kHz   I2C addr: 0x53 (0x1D with ALT high)   Calibration: One-point   Environment: Indoor, Harsh   Lifecycle: Mature   Maturity: Excellent   ESP32: Any variant; interrupt output works as a deep-sleep wake source</t>
        </is>
      </c>
    </row>
    <row r="1021" outlineLevel="1" ht="16" customHeight="1">
      <c r="A1021" s="45" t="inlineStr">
        <is>
          <t>buy</t>
        </is>
      </c>
      <c r="B1021" s="49" t="inlineStr">
        <is>
          <t>AE · AF · SF · DK · CE   |   boards: GY-291, Adafruit 1231   |   lib: Adafruit_ADXL345   [High, 2026-07]</t>
        </is>
      </c>
    </row>
    <row r="1022" outlineLevel="1" ht="45" customHeight="1">
      <c r="A1022" s="50" t="inlineStr">
        <is>
          <t>unlocks</t>
        </is>
      </c>
      <c r="B1022" s="51" t="inlineStr">
        <is>
          <t>Has it been moved or disturbed?  •  Was it dropped, and how hard?  •  Is it on?  •  Is it idle, loaded, or jammed?  •  Has someone interfered with it?  •  Has the cycle finished?  •  Did something sound wrong?</t>
        </is>
      </c>
    </row>
    <row r="1024" ht="22" customHeight="1">
      <c r="A1024" s="54" t="inlineStr">
        <is>
          <t>S077</t>
        </is>
      </c>
      <c r="B1024" s="55" t="inlineStr">
        <is>
          <t>ADXL355 low-noise accel   ·   ADXL355</t>
        </is>
      </c>
    </row>
    <row r="1025" outlineLevel="1" ht="15" customHeight="1">
      <c r="A1025" s="45" t="inlineStr">
        <is>
          <t>Category</t>
        </is>
      </c>
      <c r="B1025" s="12" t="inlineStr">
        <is>
          <t>Motion &amp; Vibration › Precision/seismic accel</t>
        </is>
      </c>
      <c r="E1025" s="45" t="inlineStr">
        <is>
          <t>Measures</t>
        </is>
      </c>
      <c r="F1025" s="12" t="inlineStr">
        <is>
          <t>±2-8g at seismometer-class noise floor</t>
        </is>
      </c>
    </row>
    <row r="1026" outlineLevel="1" ht="15" customHeight="1">
      <c r="A1026" s="45" t="inlineStr">
        <is>
          <t>Modality</t>
        </is>
      </c>
      <c r="B1026" s="12" t="inlineStr">
        <is>
          <t>—</t>
        </is>
      </c>
      <c r="E1026" s="45" t="inlineStr">
        <is>
          <t>Interface</t>
        </is>
      </c>
      <c r="F1026" s="12" t="inlineStr">
        <is>
          <t>I2C / SPI</t>
        </is>
      </c>
    </row>
    <row r="1027" outlineLevel="1" ht="15" customHeight="1">
      <c r="A1027" s="45" t="inlineStr">
        <is>
          <t>Supply</t>
        </is>
      </c>
      <c r="B1027" s="12" t="inlineStr">
        <is>
          <t>2.25-3.6V</t>
        </is>
      </c>
      <c r="E1027" s="45" t="inlineStr">
        <is>
          <t>Price</t>
        </is>
      </c>
      <c r="F1027" s="12" t="inlineStr">
        <is>
          <t>$38  ($$$)</t>
        </is>
      </c>
    </row>
    <row r="1028" outlineLevel="1" ht="15" customHeight="1">
      <c r="A1028" s="45" t="inlineStr">
        <is>
          <t>Difficulty</t>
        </is>
      </c>
      <c r="B1028" s="12" t="inlineStr">
        <is>
          <t>3 — Some skill — calibration, level shifting, timing, or datasheet reading required</t>
        </is>
      </c>
    </row>
    <row r="1029" outlineLevel="1" ht="25" customHeight="1">
      <c r="A1029" s="45" t="inlineStr">
        <is>
          <t>HOW</t>
        </is>
      </c>
      <c r="B1029" s="46" t="inlineStr">
        <is>
          <t>A much larger, thermally-stable MEMS structure achieves 25µg/√Hz noise — quiet enough to record earthquakes, structural sway, and footsteps through a building.</t>
        </is>
      </c>
    </row>
    <row r="1030" outlineLevel="1" ht="20" customHeight="1">
      <c r="A1030" s="45" t="inlineStr">
        <is>
          <t>COMMON</t>
        </is>
      </c>
      <c r="B1030" s="46" t="inlineStr">
        <is>
          <t>DIY seismometry (Raspberry Shake class), bridge/building monitoring, tilt of dams/retaining walls.</t>
        </is>
      </c>
    </row>
    <row r="1031" outlineLevel="1" ht="22" customHeight="1">
      <c r="A1031" s="45" t="inlineStr">
        <is>
          <t>INVENTION</t>
        </is>
      </c>
      <c r="B1031" s="48" t="inlineStr">
        <is>
          <t>A neighbourhood earthquake early-warning mesh: 10 houses × ADXL355 nodes detect P-waves seconds before the shaking arrives.</t>
        </is>
      </c>
    </row>
    <row r="1032" outlineLevel="1" ht="15" customHeight="1">
      <c r="A1032" s="45" t="inlineStr">
        <is>
          <t>PAIRS</t>
        </is>
      </c>
      <c r="B1032" s="46" t="inlineStr">
        <is>
          <t>GPS time-sync (PPS), ESP-NOW/MQTT mesh</t>
        </is>
      </c>
    </row>
    <row r="1033" outlineLevel="1" ht="15" customHeight="1">
      <c r="A1033" s="45" t="inlineStr">
        <is>
          <t>KEY</t>
        </is>
      </c>
      <c r="B1033" s="46" t="inlineStr">
        <is>
          <t>20-bit, 25µg/√Hz, low drift</t>
        </is>
      </c>
    </row>
    <row r="1034" outlineLevel="1" ht="16" customHeight="1">
      <c r="A1034" s="45" t="inlineStr">
        <is>
          <t>buy</t>
        </is>
      </c>
      <c r="B1034" s="49" t="inlineStr">
        <is>
          <t>AF · DK · MO   |   boards: EVAL-ADXL355Z (Analog Devices), Sparkfun/3rd-party ADXL355 boards, CJMCU-355   |   lib: plasmapper/adxl355-arduino or a datasheet SPI driver (no Adafruit library exists)   [High]</t>
        </is>
      </c>
    </row>
    <row r="1036" ht="22" customHeight="1">
      <c r="A1036" s="54" t="inlineStr">
        <is>
          <t>S078</t>
        </is>
      </c>
      <c r="B1036" s="55" t="inlineStr">
        <is>
          <t>LIS3DH budget accel   ·   LIS3DH</t>
        </is>
      </c>
    </row>
    <row r="1037" outlineLevel="1" ht="15" customHeight="1">
      <c r="A1037" s="45" t="inlineStr">
        <is>
          <t>Category</t>
        </is>
      </c>
      <c r="B1037" s="12" t="inlineStr">
        <is>
          <t>Motion &amp; Vibration › 3-axis accel</t>
        </is>
      </c>
      <c r="E1037" s="45" t="inlineStr">
        <is>
          <t>Measures</t>
        </is>
      </c>
      <c r="F1037" s="12" t="inlineStr">
        <is>
          <t>±2-16g, ultra-low power with smart wake</t>
        </is>
      </c>
    </row>
    <row r="1038" outlineLevel="1" ht="15" customHeight="1">
      <c r="A1038" s="45" t="inlineStr">
        <is>
          <t>Modality</t>
        </is>
      </c>
      <c r="B1038" s="12" t="inlineStr">
        <is>
          <t>—</t>
        </is>
      </c>
      <c r="E1038" s="45" t="inlineStr">
        <is>
          <t>Interface</t>
        </is>
      </c>
      <c r="F1038" s="12" t="inlineStr">
        <is>
          <t>I2C / SPI</t>
        </is>
      </c>
    </row>
    <row r="1039" outlineLevel="1" ht="15" customHeight="1">
      <c r="A1039" s="45" t="inlineStr">
        <is>
          <t>Supply</t>
        </is>
      </c>
      <c r="B1039" s="12" t="inlineStr">
        <is>
          <t>1.7-3.6V</t>
        </is>
      </c>
      <c r="E1039" s="45" t="inlineStr">
        <is>
          <t>Price</t>
        </is>
      </c>
      <c r="F1039" s="12" t="inlineStr">
        <is>
          <t>$3  ($)</t>
        </is>
      </c>
    </row>
    <row r="1040" outlineLevel="1" ht="15" customHeight="1">
      <c r="A1040" s="45" t="inlineStr">
        <is>
          <t>Difficulty</t>
        </is>
      </c>
      <c r="B1040" s="12" t="inlineStr">
        <is>
          <t>1 — Plug and play — Qwiic/STEMMA cable or 3 wires, library example works first time</t>
        </is>
      </c>
    </row>
    <row r="1041" outlineLevel="1" ht="24" customHeight="1">
      <c r="A1041" s="45" t="inlineStr">
        <is>
          <t>HOW</t>
        </is>
      </c>
      <c r="B1041" s="46" t="inlineStr">
        <is>
          <t>ST's everywhere-accelerometer: nanoamp-class sleep with motion-wake interrupts plus an ADC mux — the default 'wake my project when it moves' part.</t>
        </is>
      </c>
    </row>
    <row r="1042" outlineLevel="1" ht="18" customHeight="1">
      <c r="A1042" s="45" t="inlineStr">
        <is>
          <t>COMMON</t>
        </is>
      </c>
      <c r="B1042" s="46" t="inlineStr">
        <is>
          <t>Motion-wake for battery gadgets, pedometers, vibration presence, bike alarms.</t>
        </is>
      </c>
    </row>
    <row r="1043" outlineLevel="1" ht="21" customHeight="1">
      <c r="A1043" s="45" t="inlineStr">
        <is>
          <t>INVENTION</t>
        </is>
      </c>
      <c r="B1043" s="48" t="inlineStr">
        <is>
          <t>A bike alarm that sleeps at 2µA until your bike is touched, then screams over the buzzer and pings your phone via BLE.</t>
        </is>
      </c>
    </row>
    <row r="1044" outlineLevel="1" ht="16" customHeight="1">
      <c r="A1044" s="45" t="inlineStr">
        <is>
          <t>PAIRS</t>
        </is>
      </c>
      <c r="B1044" s="46" t="inlineStr">
        <is>
          <t>Deep sleep EXT wake, buzzer, BLE advertisement burst</t>
        </is>
      </c>
    </row>
    <row r="1045" outlineLevel="1" ht="15" customHeight="1">
      <c r="A1045" s="45" t="inlineStr">
        <is>
          <t>KEY</t>
        </is>
      </c>
      <c r="B1045" s="46" t="inlineStr">
        <is>
          <t>10-bit, click detection, 3 aux ADC inputs</t>
        </is>
      </c>
    </row>
    <row r="1046" outlineLevel="1" ht="16" customHeight="1">
      <c r="A1046" s="45" t="inlineStr">
        <is>
          <t>buy</t>
        </is>
      </c>
      <c r="B1046" s="49" t="inlineStr">
        <is>
          <t>AF · SF · AE · DK   |   boards: Adafruit 2809   |   lib: Adafruit_LIS3DH   [High]</t>
        </is>
      </c>
    </row>
    <row r="1048" ht="22" customHeight="1">
      <c r="A1048" s="54" t="inlineStr">
        <is>
          <t>S079</t>
        </is>
      </c>
      <c r="B1048" s="55" t="inlineStr">
        <is>
          <t>ICM-20948 9-axis IMU   ·   ICM-20948</t>
        </is>
      </c>
    </row>
    <row r="1049" outlineLevel="1" ht="15" customHeight="1">
      <c r="A1049" s="45" t="inlineStr">
        <is>
          <t>Category</t>
        </is>
      </c>
      <c r="B1049" s="12" t="inlineStr">
        <is>
          <t>Motion &amp; Vibration › 9-axis (raw)</t>
        </is>
      </c>
      <c r="E1049" s="45" t="inlineStr">
        <is>
          <t>Measures</t>
        </is>
      </c>
      <c r="F1049" s="12" t="inlineStr">
        <is>
          <t>Accel + gyro + magnetometer raw 9-DOF</t>
        </is>
      </c>
    </row>
    <row r="1050" outlineLevel="1" ht="15" customHeight="1">
      <c r="A1050" s="45" t="inlineStr">
        <is>
          <t>Modality</t>
        </is>
      </c>
      <c r="B1050" s="12" t="inlineStr">
        <is>
          <t>—</t>
        </is>
      </c>
      <c r="E1050" s="45" t="inlineStr">
        <is>
          <t>Interface</t>
        </is>
      </c>
      <c r="F1050" s="12" t="inlineStr">
        <is>
          <t>I2C / SPI</t>
        </is>
      </c>
    </row>
    <row r="1051" outlineLevel="1" ht="15" customHeight="1">
      <c r="A1051" s="45" t="inlineStr">
        <is>
          <t>Supply</t>
        </is>
      </c>
      <c r="B1051" s="12" t="inlineStr">
        <is>
          <t>1.71-3.6V</t>
        </is>
      </c>
      <c r="E1051" s="45" t="inlineStr">
        <is>
          <t>Price</t>
        </is>
      </c>
      <c r="F1051" s="12" t="inlineStr">
        <is>
          <t>$15  ($$$)</t>
        </is>
      </c>
    </row>
    <row r="1052" outlineLevel="1" ht="15" customHeight="1">
      <c r="A1052" s="45" t="inlineStr">
        <is>
          <t>Difficulty</t>
        </is>
      </c>
      <c r="B1052" s="12" t="inlineStr">
        <is>
          <t>3 — Some skill — calibration, level shifting, timing, or datasheet reading required</t>
        </is>
      </c>
    </row>
    <row r="1053" outlineLevel="1" ht="24" customHeight="1">
      <c r="A1053" s="45" t="inlineStr">
        <is>
          <t>HOW</t>
        </is>
      </c>
      <c r="B1053" s="46" t="inlineStr">
        <is>
          <t>TDK's successor to the legendary MPU-9250: 9 raw axes with a DMP you can load for fusion — you do the math (or run Madgwick) but get full control.</t>
        </is>
      </c>
    </row>
    <row r="1054" outlineLevel="1" ht="18" customHeight="1">
      <c r="A1054" s="45" t="inlineStr">
        <is>
          <t>COMMON</t>
        </is>
      </c>
      <c r="B1054" s="46" t="inlineStr">
        <is>
          <t>Drone/rocket flight computers, full-custom fusion research, motion-capture nodes.</t>
        </is>
      </c>
    </row>
    <row r="1055" outlineLevel="1" ht="22" customHeight="1">
      <c r="A1055" s="45" t="inlineStr">
        <is>
          <t>INVENTION</t>
        </is>
      </c>
      <c r="B1055" s="48" t="inlineStr">
        <is>
          <t>A body-worn 5-node mocap rig (ESP-NOW time-synced) for analysing your deadlift form or animating a game character with your body.</t>
        </is>
      </c>
    </row>
    <row r="1056" outlineLevel="1" ht="16" customHeight="1">
      <c r="A1056" s="45" t="inlineStr">
        <is>
          <t>PAIRS</t>
        </is>
      </c>
      <c r="B1056" s="46" t="inlineStr">
        <is>
          <t>ESP-NOW sync protocol, Madgwick filter, Blender import</t>
        </is>
      </c>
    </row>
    <row r="1057" outlineLevel="1" ht="15" customHeight="1">
      <c r="A1057" s="45" t="inlineStr">
        <is>
          <t>KEY</t>
        </is>
      </c>
      <c r="B1057" s="46" t="inlineStr">
        <is>
          <t>±16g, ±2000dps, ±4900µT, FIFO</t>
        </is>
      </c>
    </row>
    <row r="1058" outlineLevel="1" ht="16" customHeight="1">
      <c r="A1058" s="45" t="inlineStr">
        <is>
          <t>buy</t>
        </is>
      </c>
      <c r="B1058" s="49" t="inlineStr">
        <is>
          <t>SF · AF · DK · MO   |   boards: SparkFun 15335 Qwiic   |   lib: SparkFun ICM-20948   [High]</t>
        </is>
      </c>
    </row>
    <row r="1060" ht="22" customHeight="1">
      <c r="A1060" s="54" t="inlineStr">
        <is>
          <t>S080</t>
        </is>
      </c>
      <c r="B1060" s="55" t="inlineStr">
        <is>
          <t>High-g accel ADXL375   ·   ADXL375 (±200g)</t>
        </is>
      </c>
    </row>
    <row r="1061" outlineLevel="1" ht="15" customHeight="1">
      <c r="A1061" s="45" t="inlineStr">
        <is>
          <t>Category</t>
        </is>
      </c>
      <c r="B1061" s="12" t="inlineStr">
        <is>
          <t>Motion &amp; Vibration › High-g impact</t>
        </is>
      </c>
      <c r="E1061" s="45" t="inlineStr">
        <is>
          <t>Measures</t>
        </is>
      </c>
      <c r="F1061" s="12" t="inlineStr">
        <is>
          <t>Impacts up to ±200g without clipping</t>
        </is>
      </c>
    </row>
    <row r="1062" outlineLevel="1" ht="15" customHeight="1">
      <c r="A1062" s="45" t="inlineStr">
        <is>
          <t>Modality</t>
        </is>
      </c>
      <c r="B1062" s="12" t="inlineStr">
        <is>
          <t>—</t>
        </is>
      </c>
      <c r="E1062" s="45" t="inlineStr">
        <is>
          <t>Interface</t>
        </is>
      </c>
      <c r="F1062" s="12" t="inlineStr">
        <is>
          <t>I2C / SPI</t>
        </is>
      </c>
    </row>
    <row r="1063" outlineLevel="1" ht="15" customHeight="1">
      <c r="A1063" s="45" t="inlineStr">
        <is>
          <t>Supply</t>
        </is>
      </c>
      <c r="B1063" s="12" t="inlineStr">
        <is>
          <t>2.0-3.6V</t>
        </is>
      </c>
      <c r="E1063" s="45" t="inlineStr">
        <is>
          <t>Price</t>
        </is>
      </c>
      <c r="F1063" s="12" t="inlineStr">
        <is>
          <t>$18  ($$$)</t>
        </is>
      </c>
    </row>
    <row r="1064" outlineLevel="1" ht="15" customHeight="1">
      <c r="A1064" s="45" t="inlineStr">
        <is>
          <t>Difficulty</t>
        </is>
      </c>
      <c r="B1064" s="12" t="inlineStr">
        <is>
          <t>2 — Easy — breadboard wiring, a well-documented library, no analog thought needed</t>
        </is>
      </c>
    </row>
    <row r="1065" outlineLevel="1" ht="24" customHeight="1">
      <c r="A1065" s="45" t="inlineStr">
        <is>
          <t>HOW</t>
        </is>
      </c>
      <c r="B1065" s="46" t="inlineStr">
        <is>
          <t>Stiffer MEMS structure stays linear at impacts that pin normal accelerometers — the difference between 'something happened' and an actual crash signature.</t>
        </is>
      </c>
    </row>
    <row r="1066" outlineLevel="1" ht="19" customHeight="1">
      <c r="A1066" s="45" t="inlineStr">
        <is>
          <t>COMMON</t>
        </is>
      </c>
      <c r="B1066" s="46" t="inlineStr">
        <is>
          <t>Helmet impact dosimetry, crash loggers, package drop-test rigs, sports-impact research.</t>
        </is>
      </c>
    </row>
    <row r="1067" outlineLevel="1" ht="22" customHeight="1">
      <c r="A1067" s="45" t="inlineStr">
        <is>
          <t>INVENTION</t>
        </is>
      </c>
      <c r="B1067" s="48" t="inlineStr">
        <is>
          <t>A helmet-sticker concussion witness: logs every impact's g-curve so sideline decisions use data, not 'he says he's fine'.</t>
        </is>
      </c>
    </row>
    <row r="1068" outlineLevel="1" ht="15" customHeight="1">
      <c r="A1068" s="45" t="inlineStr">
        <is>
          <t>PAIRS</t>
        </is>
      </c>
      <c r="B1068" s="46" t="inlineStr">
        <is>
          <t>Coin-cell + BLE, SD blackbox in karts/drones</t>
        </is>
      </c>
    </row>
    <row r="1069" outlineLevel="1" ht="15" customHeight="1">
      <c r="A1069" s="45" t="inlineStr">
        <is>
          <t>KEY</t>
        </is>
      </c>
      <c r="B1069" s="46" t="inlineStr">
        <is>
          <t>±200g, 49mg/LSB</t>
        </is>
      </c>
    </row>
    <row r="1070" outlineLevel="1" ht="16" customHeight="1">
      <c r="A1070" s="45" t="inlineStr">
        <is>
          <t>buy</t>
        </is>
      </c>
      <c r="B1070" s="49" t="inlineStr">
        <is>
          <t>AF · DK · MO   |   boards: Adafruit 5374   |   lib: Adafruit_ADXL375   [High]</t>
        </is>
      </c>
    </row>
    <row r="1072" ht="22" customHeight="1">
      <c r="A1072" s="54" t="inlineStr">
        <is>
          <t>S081</t>
        </is>
      </c>
      <c r="B1072" s="55" t="inlineStr">
        <is>
          <t>QMC5883L compass   ·   QMC5883L (HMC5883L clone)</t>
        </is>
      </c>
    </row>
    <row r="1073" outlineLevel="1" ht="15" customHeight="1">
      <c r="A1073" s="45" t="inlineStr">
        <is>
          <t>Category</t>
        </is>
      </c>
      <c r="B1073" s="12" t="inlineStr">
        <is>
          <t>Magnetic &amp; Compass › 3-axis magnetometer</t>
        </is>
      </c>
      <c r="E1073" s="45" t="inlineStr">
        <is>
          <t>Measures</t>
        </is>
      </c>
      <c r="F1073" s="12" t="inlineStr">
        <is>
          <t>Earth's magnetic field → compass heading</t>
        </is>
      </c>
    </row>
    <row r="1074" outlineLevel="1" ht="15" customHeight="1">
      <c r="A1074" s="45" t="inlineStr">
        <is>
          <t>Modality</t>
        </is>
      </c>
      <c r="B1074" s="12" t="inlineStr">
        <is>
          <t>—</t>
        </is>
      </c>
      <c r="E1074" s="45" t="inlineStr">
        <is>
          <t>Interface</t>
        </is>
      </c>
      <c r="F1074" s="12" t="inlineStr">
        <is>
          <t>I2C</t>
        </is>
      </c>
    </row>
    <row r="1075" outlineLevel="1" ht="15" customHeight="1">
      <c r="A1075" s="45" t="inlineStr">
        <is>
          <t>Supply</t>
        </is>
      </c>
      <c r="B1075" s="12" t="inlineStr">
        <is>
          <t>2.16-3.6V</t>
        </is>
      </c>
      <c r="E1075" s="45" t="inlineStr">
        <is>
          <t>Price</t>
        </is>
      </c>
      <c r="F1075" s="12" t="inlineStr">
        <is>
          <t>$2  ($)</t>
        </is>
      </c>
    </row>
    <row r="1076" outlineLevel="1" ht="15" customHeight="1">
      <c r="A1076" s="45" t="inlineStr">
        <is>
          <t>Difficulty</t>
        </is>
      </c>
      <c r="B1076" s="12" t="inlineStr">
        <is>
          <t>2 — Easy — breadboard wiring, a well-documented library, no analog thought needed</t>
        </is>
      </c>
    </row>
    <row r="1077" outlineLevel="1" ht="26" customHeight="1">
      <c r="A1077" s="45" t="inlineStr">
        <is>
          <t>HOW</t>
        </is>
      </c>
      <c r="B1077" s="46" t="inlineStr">
        <is>
          <t>Magneto-resistive elements change resistance with field direction; after hard/soft-iron calibration you get heading. Note: most 'HMC5883L' boards sold today are actually QMC.</t>
        </is>
      </c>
    </row>
    <row r="1078" outlineLevel="1" ht="20" customHeight="1">
      <c r="A1078" s="45" t="inlineStr">
        <is>
          <t>COMMON</t>
        </is>
      </c>
      <c r="B1078" s="46" t="inlineStr">
        <is>
          <t>Robot heading, sundial gadgets, metal detection (field distortion), vehicle detection in driveways.</t>
        </is>
      </c>
    </row>
    <row r="1079" outlineLevel="1" ht="22" customHeight="1">
      <c r="A1079" s="45" t="inlineStr">
        <is>
          <t>INVENTION</t>
        </is>
      </c>
      <c r="B1079" s="48" t="inlineStr">
        <is>
          <t>Bury one beside the driveway: a parked car warps Earth's field measurably — a $2 'is the car home?' sensor with no camera.</t>
        </is>
      </c>
    </row>
    <row r="1080" outlineLevel="1" ht="16" customHeight="1">
      <c r="A1080" s="45" t="inlineStr">
        <is>
          <t>PAIRS</t>
        </is>
      </c>
      <c r="B1080" s="46" t="inlineStr">
        <is>
          <t>GPS for heading-vs-track comparison, deep sleep nodes</t>
        </is>
      </c>
    </row>
    <row r="1081" outlineLevel="1" ht="15" customHeight="1">
      <c r="A1081" s="45" t="inlineStr">
        <is>
          <t>KEY</t>
        </is>
      </c>
      <c r="B1081" s="46" t="inlineStr">
        <is>
          <t>±8 gauss, 200Hz; calibration is essential</t>
        </is>
      </c>
    </row>
    <row r="1082" outlineLevel="1" ht="16" customHeight="1">
      <c r="A1082" s="45" t="inlineStr">
        <is>
          <t>buy</t>
        </is>
      </c>
      <c r="B1082" s="49" t="inlineStr">
        <is>
          <t>AE · AMZ · DFR   |   boards: GY-271   |   lib: QMC5883LCompass   [High]</t>
        </is>
      </c>
    </row>
    <row r="1084" ht="22" customHeight="1">
      <c r="A1084" s="54" t="inlineStr">
        <is>
          <t>S082</t>
        </is>
      </c>
      <c r="B1084" s="55" t="inlineStr">
        <is>
          <t>MMC5603 precision magnetometer   ·   MMC5603NJ</t>
        </is>
      </c>
    </row>
    <row r="1085" outlineLevel="1" ht="15" customHeight="1">
      <c r="A1085" s="45" t="inlineStr">
        <is>
          <t>Category</t>
        </is>
      </c>
      <c r="B1085" s="12" t="inlineStr">
        <is>
          <t>Magnetic &amp; Compass › 3-axis magnetometer</t>
        </is>
      </c>
      <c r="E1085" s="45" t="inlineStr">
        <is>
          <t>Measures</t>
        </is>
      </c>
      <c r="F1085" s="12" t="inlineStr">
        <is>
          <t>±30 gauss field with 0.0625mG resolution</t>
        </is>
      </c>
    </row>
    <row r="1086" outlineLevel="1" ht="15" customHeight="1">
      <c r="A1086" s="45" t="inlineStr">
        <is>
          <t>Modality</t>
        </is>
      </c>
      <c r="B1086" s="12" t="inlineStr">
        <is>
          <t>—</t>
        </is>
      </c>
      <c r="E1086" s="45" t="inlineStr">
        <is>
          <t>Interface</t>
        </is>
      </c>
      <c r="F1086" s="12" t="inlineStr">
        <is>
          <t>I2C</t>
        </is>
      </c>
    </row>
    <row r="1087" outlineLevel="1" ht="15" customHeight="1">
      <c r="A1087" s="45" t="inlineStr">
        <is>
          <t>Supply</t>
        </is>
      </c>
      <c r="B1087" s="12" t="inlineStr">
        <is>
          <t>1.6-3.6V</t>
        </is>
      </c>
      <c r="E1087" s="45" t="inlineStr">
        <is>
          <t>Price</t>
        </is>
      </c>
      <c r="F1087" s="12" t="inlineStr">
        <is>
          <t>$6  ($$)</t>
        </is>
      </c>
    </row>
    <row r="1088" outlineLevel="1" ht="15" customHeight="1">
      <c r="A1088" s="45" t="inlineStr">
        <is>
          <t>Difficulty</t>
        </is>
      </c>
      <c r="B1088" s="12" t="inlineStr">
        <is>
          <t>2 — Easy — breadboard wiring, a well-documented library, no analog thought needed</t>
        </is>
      </c>
    </row>
    <row r="1089" outlineLevel="1" ht="23" customHeight="1">
      <c r="A1089" s="45" t="inlineStr">
        <is>
          <t>HOW</t>
        </is>
      </c>
      <c r="B1089" s="46" t="inlineStr">
        <is>
          <t>AMR sensor with internal set/reset coils that flip polarity each sample to cancel offset drift automatically — much less calibration pain.</t>
        </is>
      </c>
    </row>
    <row r="1090" outlineLevel="1" ht="18" customHeight="1">
      <c r="A1090" s="45" t="inlineStr">
        <is>
          <t>COMMON</t>
        </is>
      </c>
      <c r="B1090" s="46" t="inlineStr">
        <is>
          <t>Precision compassing, magnetic anomaly detection, door/window state via magnet.</t>
        </is>
      </c>
    </row>
    <row r="1091" outlineLevel="1" ht="24" customHeight="1">
      <c r="A1091" s="45" t="inlineStr">
        <is>
          <t>INVENTION</t>
        </is>
      </c>
      <c r="B1091" s="48" t="inlineStr">
        <is>
          <t>Magnetic fingerprinting indoor positioning: steel structure gives every metre of a building a unique field signature — localisation with zero beacons.</t>
        </is>
      </c>
    </row>
    <row r="1092" outlineLevel="1" ht="15" customHeight="1">
      <c r="A1092" s="45" t="inlineStr">
        <is>
          <t>PAIRS</t>
        </is>
      </c>
      <c r="B1092" s="46" t="inlineStr">
        <is>
          <t>IMU for dead reckoning fusion, site survey app</t>
        </is>
      </c>
    </row>
    <row r="1093" outlineLevel="1" ht="15" customHeight="1">
      <c r="A1093" s="45" t="inlineStr">
        <is>
          <t>KEY</t>
        </is>
      </c>
      <c r="B1093" s="46" t="inlineStr">
        <is>
          <t>20-bit, 1000Hz max, low drift</t>
        </is>
      </c>
    </row>
    <row r="1094" outlineLevel="1" ht="16" customHeight="1">
      <c r="A1094" s="45" t="inlineStr">
        <is>
          <t>buy</t>
        </is>
      </c>
      <c r="B1094" s="49" t="inlineStr">
        <is>
          <t>AF · DK · MO   |   boards: Adafruit 5579   |   lib: Adafruit_MMC56x3   [High]</t>
        </is>
      </c>
    </row>
    <row r="1096" ht="22" customHeight="1">
      <c r="A1096" s="54" t="inlineStr">
        <is>
          <t>S083</t>
        </is>
      </c>
      <c r="B1096" s="55" t="inlineStr">
        <is>
          <t>TLV493D 3D magnetic   ·   TLV493D-A1B6</t>
        </is>
      </c>
    </row>
    <row r="1097" outlineLevel="1" ht="15" customHeight="1">
      <c r="A1097" s="45" t="inlineStr">
        <is>
          <t>Category</t>
        </is>
      </c>
      <c r="B1097" s="12" t="inlineStr">
        <is>
          <t>Magnetic &amp; Compass › 3D position sensing</t>
        </is>
      </c>
      <c r="E1097" s="45" t="inlineStr">
        <is>
          <t>Measures</t>
        </is>
      </c>
      <c r="F1097" s="12" t="inlineStr">
        <is>
          <t>3D position/rotation of a nearby magnet</t>
        </is>
      </c>
    </row>
    <row r="1098" outlineLevel="1" ht="15" customHeight="1">
      <c r="A1098" s="45" t="inlineStr">
        <is>
          <t>Modality</t>
        </is>
      </c>
      <c r="B1098" s="12" t="inlineStr">
        <is>
          <t>—</t>
        </is>
      </c>
      <c r="E1098" s="45" t="inlineStr">
        <is>
          <t>Interface</t>
        </is>
      </c>
      <c r="F1098" s="12" t="inlineStr">
        <is>
          <t>I2C</t>
        </is>
      </c>
    </row>
    <row r="1099" outlineLevel="1" ht="15" customHeight="1">
      <c r="A1099" s="45" t="inlineStr">
        <is>
          <t>Supply</t>
        </is>
      </c>
      <c r="B1099" s="12" t="inlineStr">
        <is>
          <t>2.8-3.5V</t>
        </is>
      </c>
      <c r="E1099" s="45" t="inlineStr">
        <is>
          <t>Price</t>
        </is>
      </c>
      <c r="F1099" s="12" t="inlineStr">
        <is>
          <t>$6  ($$)</t>
        </is>
      </c>
    </row>
    <row r="1100" outlineLevel="1" ht="15" customHeight="1">
      <c r="A1100" s="45" t="inlineStr">
        <is>
          <t>Difficulty</t>
        </is>
      </c>
      <c r="B1100" s="12" t="inlineStr">
        <is>
          <t>2 — Easy — breadboard wiring, a well-documented library, no analog thought needed</t>
        </is>
      </c>
    </row>
    <row r="1101" outlineLevel="1" ht="23" customHeight="1">
      <c r="A1101" s="45" t="inlineStr">
        <is>
          <t>HOW</t>
        </is>
      </c>
      <c r="B1101" s="46" t="inlineStr">
        <is>
          <t>Hall plates in three axes track a magnet's vector — turn any magnet into a 3D joystick, dial, or contactless slider that works through plastic.</t>
        </is>
      </c>
    </row>
    <row r="1102" outlineLevel="1" ht="21" customHeight="1">
      <c r="A1102" s="45" t="inlineStr">
        <is>
          <t>COMMON</t>
        </is>
      </c>
      <c r="B1102" s="46" t="inlineStr">
        <is>
          <t>Sealed control knobs (waterproof!), joystick replacements, valve-position sensing, magnetic levitation control loops.</t>
        </is>
      </c>
    </row>
    <row r="1103" outlineLevel="1" ht="24" customHeight="1">
      <c r="A1103" s="45" t="inlineStr">
        <is>
          <t>INVENTION</t>
        </is>
      </c>
      <c r="B1103" s="48" t="inlineStr">
        <is>
          <t>Fully sealed outdoor/medical control panels: knobs and joysticks with magnets inside, electronics potted behind solid plastic — nothing to corrode.</t>
        </is>
      </c>
    </row>
    <row r="1104" outlineLevel="1" ht="15" customHeight="1">
      <c r="A1104" s="45" t="inlineStr">
        <is>
          <t>PAIRS</t>
        </is>
      </c>
      <c r="B1104" s="46" t="inlineStr">
        <is>
          <t>Magnet + 3D-printed knob, ESPHome dashboards</t>
        </is>
      </c>
    </row>
    <row r="1105" outlineLevel="1" ht="15" customHeight="1">
      <c r="A1105" s="45" t="inlineStr">
        <is>
          <t>KEY</t>
        </is>
      </c>
      <c r="B1105" s="46" t="inlineStr">
        <is>
          <t>±130mT, 0.098mT resolution</t>
        </is>
      </c>
    </row>
    <row r="1106" outlineLevel="1" ht="16" customHeight="1">
      <c r="A1106" s="45" t="inlineStr">
        <is>
          <t>buy</t>
        </is>
      </c>
      <c r="B1106" s="49" t="inlineStr">
        <is>
          <t>AF · DK · MO   |   boards: Adafruit 4366, Infineon shield   |   lib: Adafruit_TLV493D, Infineon lib   [High]</t>
        </is>
      </c>
    </row>
    <row r="1108" ht="22" customHeight="1">
      <c r="A1108" s="54" t="inlineStr">
        <is>
          <t>S084</t>
        </is>
      </c>
      <c r="B1108" s="55" t="inlineStr">
        <is>
          <t>A3144 / SS49E Hall switches   ·   A3144 (digital), SS49E (analog)</t>
        </is>
      </c>
    </row>
    <row r="1109" outlineLevel="1" ht="15" customHeight="1">
      <c r="A1109" s="45" t="inlineStr">
        <is>
          <t>Category</t>
        </is>
      </c>
      <c r="B1109" s="12" t="inlineStr">
        <is>
          <t>Magnetic &amp; Compass › Hall switch/linear</t>
        </is>
      </c>
      <c r="E1109" s="45" t="inlineStr">
        <is>
          <t>Measures</t>
        </is>
      </c>
      <c r="F1109" s="12" t="inlineStr">
        <is>
          <t>Magnet present? (A3144) / field strength (SS49E)</t>
        </is>
      </c>
    </row>
    <row r="1110" outlineLevel="1" ht="15" customHeight="1">
      <c r="A1110" s="45" t="inlineStr">
        <is>
          <t>Modality</t>
        </is>
      </c>
      <c r="B1110" s="12" t="inlineStr">
        <is>
          <t>—</t>
        </is>
      </c>
      <c r="E1110" s="45" t="inlineStr">
        <is>
          <t>Interface</t>
        </is>
      </c>
      <c r="F1110" s="12" t="inlineStr">
        <is>
          <t>Analog / Digital</t>
        </is>
      </c>
    </row>
    <row r="1111" outlineLevel="1" ht="15" customHeight="1">
      <c r="A1111" s="45" t="inlineStr">
        <is>
          <t>Supply</t>
        </is>
      </c>
      <c r="B1111" s="12" t="inlineStr">
        <is>
          <t>4.5-24V / 2.7-6.5V</t>
        </is>
      </c>
      <c r="E1111" s="45" t="inlineStr">
        <is>
          <t>Price</t>
        </is>
      </c>
      <c r="F1111" s="12" t="inlineStr">
        <is>
          <t>$0.4  ($)</t>
        </is>
      </c>
    </row>
    <row r="1112" outlineLevel="1" ht="15" customHeight="1">
      <c r="A1112" s="45" t="inlineStr">
        <is>
          <t>Difficulty</t>
        </is>
      </c>
      <c r="B1112" s="12" t="inlineStr">
        <is>
          <t>1 — Plug and play — Qwiic/STEMMA cable or 3 wires, library example works first time</t>
        </is>
      </c>
    </row>
    <row r="1113" outlineLevel="1" ht="26" customHeight="1">
      <c r="A1113" s="45" t="inlineStr">
        <is>
          <t>HOW</t>
        </is>
      </c>
      <c r="B1113" s="46" t="inlineStr">
        <is>
          <t>The Hall effect: current through silicon deflects in a magnetic field, making a measurable voltage. Digital versions snap on/off; linear versions output proportionally.</t>
        </is>
      </c>
    </row>
    <row r="1114" outlineLevel="1" ht="20" customHeight="1">
      <c r="A1114" s="45" t="inlineStr">
        <is>
          <t>COMMON</t>
        </is>
      </c>
      <c r="B1114" s="46" t="inlineStr">
        <is>
          <t>Wheel RPM (magnet on spoke), door state, flow meter pulses, brushless rotor position, end-stops.</t>
        </is>
      </c>
    </row>
    <row r="1115" outlineLevel="1" ht="25" customHeight="1">
      <c r="A1115" s="45" t="inlineStr">
        <is>
          <t>INVENTION</t>
        </is>
      </c>
      <c r="B1115" s="48" t="inlineStr">
        <is>
          <t>Anemometer from a bearing + magnets + A3144, current sensing via SS49E taped to a mains cable (field sniffing) — magnetic sensing is everywhere once you look.</t>
        </is>
      </c>
    </row>
    <row r="1116" outlineLevel="1" ht="15" customHeight="1">
      <c r="A1116" s="45" t="inlineStr">
        <is>
          <t>PAIRS</t>
        </is>
      </c>
      <c r="B1116" s="46" t="inlineStr">
        <is>
          <t>PCNT peripheral counts pulses with zero CPU</t>
        </is>
      </c>
    </row>
    <row r="1117" outlineLevel="1" ht="15" customHeight="1">
      <c r="A1117" s="45" t="inlineStr">
        <is>
          <t>KEY</t>
        </is>
      </c>
      <c r="B1117" s="46" t="inlineStr">
        <is>
          <t>A3144 unipolar switch; SS49E 1.4mV/G</t>
        </is>
      </c>
    </row>
    <row r="1118" outlineLevel="1" ht="16" customHeight="1">
      <c r="A1118" s="45" t="inlineStr">
        <is>
          <t>buy</t>
        </is>
      </c>
      <c r="B1118" s="49" t="inlineStr">
        <is>
          <t>AE · AMZ · DK · CE   |   boards: Bare TO-92, KY-003/KY-035 modules   |   lib: digitalRead/analogRead   [High]</t>
        </is>
      </c>
    </row>
    <row r="1120" ht="22" customHeight="1">
      <c r="A1120" s="66" t="inlineStr">
        <is>
          <t>S085</t>
        </is>
      </c>
      <c r="B1120" s="67" t="inlineStr">
        <is>
          <t>Reed switch   ·   MKA14103 class / door sets</t>
        </is>
      </c>
    </row>
    <row r="1121" outlineLevel="1" ht="15" customHeight="1">
      <c r="A1121" s="45" t="inlineStr">
        <is>
          <t>Category</t>
        </is>
      </c>
      <c r="B1121" s="12" t="inlineStr">
        <is>
          <t>Magnetic &amp; Compass › Mechanical magnetic</t>
        </is>
      </c>
      <c r="E1121" s="45" t="inlineStr">
        <is>
          <t>Measures</t>
        </is>
      </c>
      <c r="F1121" s="12" t="inlineStr">
        <is>
          <t>Magnet proximity (mechanical contact)</t>
        </is>
      </c>
    </row>
    <row r="1122" outlineLevel="1" ht="15" customHeight="1">
      <c r="A1122" s="45" t="inlineStr">
        <is>
          <t>Modality</t>
        </is>
      </c>
      <c r="B1122" s="12" t="inlineStr">
        <is>
          <t>Magnetic</t>
        </is>
      </c>
      <c r="E1122" s="45" t="inlineStr">
        <is>
          <t>Interface</t>
        </is>
      </c>
      <c r="F1122" s="12" t="inlineStr">
        <is>
          <t>Digital</t>
        </is>
      </c>
    </row>
    <row r="1123" outlineLevel="1" ht="15" customHeight="1">
      <c r="A1123" s="45" t="inlineStr">
        <is>
          <t>Supply</t>
        </is>
      </c>
      <c r="B1123" s="12" t="inlineStr">
        <is>
          <t>any</t>
        </is>
      </c>
      <c r="E1123" s="45" t="inlineStr">
        <is>
          <t>Price</t>
        </is>
      </c>
      <c r="F1123" s="12" t="inlineStr">
        <is>
          <t>$0.5  ($)</t>
        </is>
      </c>
    </row>
    <row r="1124" outlineLevel="1" ht="15" customHeight="1">
      <c r="A1124" s="45" t="inlineStr">
        <is>
          <t>Difficulty</t>
        </is>
      </c>
      <c r="B1124" s="12" t="inlineStr">
        <is>
          <t>1 — Plug and play — Qwiic/STEMMA cable or 3 wires, library example works first time</t>
        </is>
      </c>
    </row>
    <row r="1125" outlineLevel="1" ht="24" customHeight="1">
      <c r="A1125" s="45" t="inlineStr">
        <is>
          <t>HOW</t>
        </is>
      </c>
      <c r="B1125" s="46" t="inlineStr">
        <is>
          <t>Two ferromagnetic blades in a glass tube snap together in a magnetic field — a switch with zero standby power, perfect for years-long battery sensors.</t>
        </is>
      </c>
    </row>
    <row r="1126" outlineLevel="1" ht="42" customHeight="1">
      <c r="A1126" s="45" t="inlineStr">
        <is>
          <t>WHAT</t>
        </is>
      </c>
      <c r="B1126" s="47" t="inlineStr">
        <is>
          <t>Contacts bounce for milliseconds, so an undebounced interrupt counts one event as several — this silently inflates every tipping-bucket rain total and flow count. The glass envelope is fragile. Strong nearby magnets or steel can hold it closed or shield it. It is a mechanical part with a finite operation count, though that count is in the hundreds of millions.</t>
        </is>
      </c>
    </row>
    <row r="1127" outlineLevel="1" ht="20" customHeight="1">
      <c r="A1127" s="45" t="inlineStr">
        <is>
          <t>COMMON</t>
        </is>
      </c>
      <c r="B1127" s="46" t="inlineStr">
        <is>
          <t>Door/window state, mail-slot triggers, lid detection, tamper switches, rain-gauge tipping buckets.</t>
        </is>
      </c>
    </row>
    <row r="1128" outlineLevel="1" ht="23" customHeight="1">
      <c r="A1128" s="45" t="inlineStr">
        <is>
          <t>INVENTION</t>
        </is>
      </c>
      <c r="B1128" s="48" t="inlineStr">
        <is>
          <t>Zero-power is a superpower: reed → ESP32 EXT1 wake means a door sensor that literally consumes nothing until the door actually moves.</t>
        </is>
      </c>
    </row>
    <row r="1129" outlineLevel="1" ht="21" customHeight="1">
      <c r="A1129" s="45" t="inlineStr">
        <is>
          <t>SUBSTITUT</t>
        </is>
      </c>
      <c r="B1129" s="46" t="inlineStr">
        <is>
          <t>Solid state and no bounce: A3144 Hall switch. Field strength rather than presence: SS49E. Contactless angle: AS5600.</t>
        </is>
      </c>
    </row>
    <row r="1130" outlineLevel="1" ht="15" customHeight="1">
      <c r="A1130" s="45" t="inlineStr">
        <is>
          <t>PAIRS</t>
        </is>
      </c>
      <c r="B1130" s="46" t="inlineStr">
        <is>
          <t>Deep sleep wake, ESP-NOW 50ms burst report</t>
        </is>
      </c>
    </row>
    <row r="1131" outlineLevel="1" ht="16" customHeight="1">
      <c r="A1131" s="45" t="inlineStr">
        <is>
          <t>KEY</t>
        </is>
      </c>
      <c r="B1131" s="46" t="inlineStr">
        <is>
          <t>~10^8 operations, plastic door-pair housings common</t>
        </is>
      </c>
    </row>
    <row r="1132" outlineLevel="1" ht="28" customHeight="1">
      <c r="A1132" s="45" t="inlineStr">
        <is>
          <t>specs</t>
        </is>
      </c>
      <c r="B1132" s="49" t="inlineStr">
        <is>
          <t>Range: Contact closes within ~10-25 mm of a magnet   Rate: Mechanical, ~100 Hz practical   Calibration: None   Environment: Indoor, Outdoor   Lifecycle: Active   Maturity: Excellent   ESP32: Ideal EXT0/EXT1 deep-sleep wake source — zero standby current</t>
        </is>
      </c>
    </row>
    <row r="1133" outlineLevel="1" ht="16" customHeight="1">
      <c r="A1133" s="45" t="inlineStr">
        <is>
          <t>buy</t>
        </is>
      </c>
      <c r="B1133" s="49" t="inlineStr">
        <is>
          <t>AE · AMZ · DK · CE   |   boards: Door/window pair sets   |   lib: digitalRead + interrupt/wake   [High, 2026-07]</t>
        </is>
      </c>
    </row>
    <row r="1134" outlineLevel="1" ht="45" customHeight="1">
      <c r="A1134" s="50" t="inlineStr">
        <is>
          <t>unlocks</t>
        </is>
      </c>
      <c r="B1134" s="51" t="inlineStr">
        <is>
          <t>Is it open or closed?  •  Is the thing there?  •  How fast is it turning?  •  Has someone interfered with it?  •  How many went past?  •  Is it raining, and how hard?</t>
        </is>
      </c>
    </row>
    <row r="1136" ht="22" customHeight="1">
      <c r="A1136" s="54" t="inlineStr">
        <is>
          <t>S086</t>
        </is>
      </c>
      <c r="B1136" s="55" t="inlineStr">
        <is>
          <t>MLX90393 wide-range 3D mag   ·   MLX90393</t>
        </is>
      </c>
    </row>
    <row r="1137" outlineLevel="1" ht="15" customHeight="1">
      <c r="A1137" s="45" t="inlineStr">
        <is>
          <t>Category</t>
        </is>
      </c>
      <c r="B1137" s="12" t="inlineStr">
        <is>
          <t>Magnetic &amp; Compass › 3D position sensing</t>
        </is>
      </c>
      <c r="E1137" s="45" t="inlineStr">
        <is>
          <t>Measures</t>
        </is>
      </c>
      <c r="F1137" s="12" t="inlineStr">
        <is>
          <t>3-axis field ±50mT with programmable resolution</t>
        </is>
      </c>
    </row>
    <row r="1138" outlineLevel="1" ht="15" customHeight="1">
      <c r="A1138" s="45" t="inlineStr">
        <is>
          <t>Modality</t>
        </is>
      </c>
      <c r="B1138" s="12" t="inlineStr">
        <is>
          <t>—</t>
        </is>
      </c>
      <c r="E1138" s="45" t="inlineStr">
        <is>
          <t>Interface</t>
        </is>
      </c>
      <c r="F1138" s="12" t="inlineStr">
        <is>
          <t>I2C / SPI</t>
        </is>
      </c>
    </row>
    <row r="1139" outlineLevel="1" ht="15" customHeight="1">
      <c r="A1139" s="45" t="inlineStr">
        <is>
          <t>Supply</t>
        </is>
      </c>
      <c r="B1139" s="12" t="inlineStr">
        <is>
          <t>2.2-3.6V</t>
        </is>
      </c>
      <c r="E1139" s="45" t="inlineStr">
        <is>
          <t>Price</t>
        </is>
      </c>
      <c r="F1139" s="12" t="inlineStr">
        <is>
          <t>$8  ($$)</t>
        </is>
      </c>
    </row>
    <row r="1140" outlineLevel="1" ht="15" customHeight="1">
      <c r="A1140" s="45" t="inlineStr">
        <is>
          <t>Difficulty</t>
        </is>
      </c>
      <c r="B1140" s="12" t="inlineStr">
        <is>
          <t>2 — Easy — breadboard wiring, a well-documented library, no analog thought needed</t>
        </is>
      </c>
    </row>
    <row r="1141" outlineLevel="1" ht="23" customHeight="1">
      <c r="A1141" s="45" t="inlineStr">
        <is>
          <t>HOW</t>
        </is>
      </c>
      <c r="B1141" s="46" t="inlineStr">
        <is>
          <t>Triaxis Hall technology with huge configurable range — from compass-weak to magnet-strong fields, plus wake-on-change for battery use.</t>
        </is>
      </c>
    </row>
    <row r="1142" outlineLevel="1" ht="19" customHeight="1">
      <c r="A1142" s="45" t="inlineStr">
        <is>
          <t>COMMON</t>
        </is>
      </c>
      <c r="B1142" s="46" t="inlineStr">
        <is>
          <t>Joysticks, current sensing (field near conductor), ferrous metal detectors, position feedback.</t>
        </is>
      </c>
    </row>
    <row r="1143" outlineLevel="1" ht="23" customHeight="1">
      <c r="A1143" s="45" t="inlineStr">
        <is>
          <t>INVENTION</t>
        </is>
      </c>
      <c r="B1143" s="48" t="inlineStr">
        <is>
          <t>A 'magnetic stethoscope' wand: sweep surfaces to visualise hidden live wiring, studs with screws, and rebar — field strength → LED bar + tone.</t>
        </is>
      </c>
    </row>
    <row r="1144" outlineLevel="1" ht="15" customHeight="1">
      <c r="A1144" s="45" t="inlineStr">
        <is>
          <t>PAIRS</t>
        </is>
      </c>
      <c r="B1144" s="46" t="inlineStr">
        <is>
          <t>WS2812 bar + piezo for AR-style feedback</t>
        </is>
      </c>
    </row>
    <row r="1145" outlineLevel="1" ht="15" customHeight="1">
      <c r="A1145" s="45" t="inlineStr">
        <is>
          <t>KEY</t>
        </is>
      </c>
      <c r="B1145" s="46" t="inlineStr">
        <is>
          <t>16-bit, wake-on-change engine</t>
        </is>
      </c>
    </row>
    <row r="1146" outlineLevel="1" ht="16" customHeight="1">
      <c r="A1146" s="45" t="inlineStr">
        <is>
          <t>buy</t>
        </is>
      </c>
      <c r="B1146" s="49" t="inlineStr">
        <is>
          <t>AF · SF · DK · MO   |   boards: Adafruit 4022, SparkFun 14571   |   lib: Adafruit_MLX90393   [High]</t>
        </is>
      </c>
    </row>
    <row r="1148" ht="22" customHeight="1">
      <c r="A1148" s="62" t="inlineStr">
        <is>
          <t>S087</t>
        </is>
      </c>
      <c r="B1148" s="63" t="inlineStr">
        <is>
          <t>INMP441 I2S MEMS mic   ·   INMP441</t>
        </is>
      </c>
    </row>
    <row r="1149" outlineLevel="1" ht="15" customHeight="1">
      <c r="A1149" s="45" t="inlineStr">
        <is>
          <t>Category</t>
        </is>
      </c>
      <c r="B1149" s="12" t="inlineStr">
        <is>
          <t>Sound &amp; Audio › Digital I2S mic</t>
        </is>
      </c>
      <c r="E1149" s="45" t="inlineStr">
        <is>
          <t>Measures</t>
        </is>
      </c>
      <c r="F1149" s="12" t="inlineStr">
        <is>
          <t>Audio waveform, 60Hz-15kHz, digital output</t>
        </is>
      </c>
    </row>
    <row r="1150" outlineLevel="1" ht="15" customHeight="1">
      <c r="A1150" s="45" t="inlineStr">
        <is>
          <t>Modality</t>
        </is>
      </c>
      <c r="B1150" s="12" t="inlineStr">
        <is>
          <t>Acoustic</t>
        </is>
      </c>
      <c r="E1150" s="45" t="inlineStr">
        <is>
          <t>Interface</t>
        </is>
      </c>
      <c r="F1150" s="12" t="inlineStr">
        <is>
          <t>I2S</t>
        </is>
      </c>
    </row>
    <row r="1151" outlineLevel="1" ht="15" customHeight="1">
      <c r="A1151" s="45" t="inlineStr">
        <is>
          <t>Supply</t>
        </is>
      </c>
      <c r="B1151" s="12" t="inlineStr">
        <is>
          <t>1.8-3.3V</t>
        </is>
      </c>
      <c r="E1151" s="45" t="inlineStr">
        <is>
          <t>Price</t>
        </is>
      </c>
      <c r="F1151" s="12" t="inlineStr">
        <is>
          <t>$3  ($)</t>
        </is>
      </c>
    </row>
    <row r="1152" outlineLevel="1" ht="15" customHeight="1">
      <c r="A1152" s="45" t="inlineStr">
        <is>
          <t>Difficulty</t>
        </is>
      </c>
      <c r="B1152" s="12" t="inlineStr">
        <is>
          <t>2 — Easy — breadboard wiring, a well-documented library, no analog thought needed</t>
        </is>
      </c>
    </row>
    <row r="1153" outlineLevel="1" ht="25" customHeight="1">
      <c r="A1153" s="45" t="inlineStr">
        <is>
          <t>HOW</t>
        </is>
      </c>
      <c r="B1153" s="46" t="inlineStr">
        <is>
          <t>A MEMS membrane's capacitance changes with sound pressure; an onboard ADC streams 24-bit samples over I2S straight into the ESP32 — no analog stage, no noise pickup.</t>
        </is>
      </c>
    </row>
    <row r="1154" outlineLevel="1" ht="50" customHeight="1">
      <c r="A1154" s="45" t="inlineStr">
        <is>
          <t>WHAT</t>
        </is>
      </c>
      <c r="B1154" s="47" t="inlineStr">
        <is>
          <t>It gives you raw samples, not decibels — deriving true dB(A) needs A-weighting and a calibrated reference, and without that any 'noise level' you publish is arbitrary. The I2S clock must keep running or the data stream stalls in ways that look like a dead sensor. Wind noise and handling noise dominate outdoors without a foam shield. Note the privacy classification: this captures intelligible speech, which changes what you may lawfully record and store.</t>
        </is>
      </c>
    </row>
    <row r="1155" outlineLevel="1" ht="20" customHeight="1">
      <c r="A1155" s="45" t="inlineStr">
        <is>
          <t>COMMON</t>
        </is>
      </c>
      <c r="B1155" s="46" t="inlineStr">
        <is>
          <t>Wake-word devices, sound-level meters, voice control, audio-event detection (glass break, dog bark).</t>
        </is>
      </c>
    </row>
    <row r="1156" outlineLevel="1" ht="23" customHeight="1">
      <c r="A1156" s="45" t="inlineStr">
        <is>
          <t>INVENTION</t>
        </is>
      </c>
      <c r="B1156" s="48" t="inlineStr">
        <is>
          <t>Train TinyML to recognise YOUR appliances by hum: kettle done, washing machine finished, doorbell rang — one mic, whole-kitchen awareness.</t>
        </is>
      </c>
    </row>
    <row r="1157" outlineLevel="1" ht="24" customHeight="1">
      <c r="A1157" s="45" t="inlineStr">
        <is>
          <t>SUBSTITUT</t>
        </is>
      </c>
      <c r="B1157" s="46" t="inlineStr">
        <is>
          <t>Flatter response: ICS-43434. Calibrated SPL out of the box: DFRobot dB meter. Structure-borne only, no speech privacy issue: piezo contact disc.</t>
        </is>
      </c>
    </row>
    <row r="1158" outlineLevel="1" ht="16" customHeight="1">
      <c r="A1158" s="45" t="inlineStr">
        <is>
          <t>PAIRS</t>
        </is>
      </c>
      <c r="B1158" s="46" t="inlineStr">
        <is>
          <t>ESP32-S3 + ESP-SR wake words, TinyML audio classifiers</t>
        </is>
      </c>
    </row>
    <row r="1159" outlineLevel="1" ht="16" customHeight="1">
      <c r="A1159" s="45" t="inlineStr">
        <is>
          <t>KEY</t>
        </is>
      </c>
      <c r="B1159" s="46" t="inlineStr">
        <is>
          <t>61dB SNR, omnidirectional; the default ESP32 mic</t>
        </is>
      </c>
    </row>
    <row r="1160" outlineLevel="1" ht="28" customHeight="1">
      <c r="A1160" s="45" t="inlineStr">
        <is>
          <t>specs</t>
        </is>
      </c>
      <c r="B1160" s="49" t="inlineStr">
        <is>
          <t>Range: 60 Hz - 15 kHz   Accuracy: Uncalibrated (no absolute SPL)   Rate: Up to 48 kHz sampling   Calibration: Reference   Environment: Indoor   Lifecycle: Active   Maturity: Good   ESP32: Needs a real I2S peripheral; comfortable on S3 with ESP-SR wake words</t>
        </is>
      </c>
    </row>
    <row r="1161" outlineLevel="1" ht="16" customHeight="1">
      <c r="A1161" s="45" t="inlineStr">
        <is>
          <t>buy</t>
        </is>
      </c>
      <c r="B1161" s="49" t="inlineStr">
        <is>
          <t>AE · AMZ   |   boards: INMP441 breakout   |   lib: ESP-IDF I2S, arduino-audio-tools, ESP-SR   [High, 2026-07]</t>
        </is>
      </c>
    </row>
    <row r="1162" outlineLevel="1" ht="45" customHeight="1">
      <c r="A1162" s="50" t="inlineStr">
        <is>
          <t>unlocks</t>
        </is>
      </c>
      <c r="B1162" s="51" t="inlineStr">
        <is>
          <t>Did something sound wrong?  •  Is it on?  •  Is it idle, loaded, or jammed?  •  Is someone cooking?  •  How fast are they breathing?  •  Did glass break?  •  What is the beehive doing?</t>
        </is>
      </c>
    </row>
    <row r="1164" ht="22" customHeight="1">
      <c r="A1164" s="54" t="inlineStr">
        <is>
          <t>S088</t>
        </is>
      </c>
      <c r="B1164" s="55" t="inlineStr">
        <is>
          <t>ICS-43434 I2S mic   ·   ICS-43434</t>
        </is>
      </c>
    </row>
    <row r="1165" outlineLevel="1" ht="15" customHeight="1">
      <c r="A1165" s="45" t="inlineStr">
        <is>
          <t>Category</t>
        </is>
      </c>
      <c r="B1165" s="12" t="inlineStr">
        <is>
          <t>Sound &amp; Audio › Digital I2S mic</t>
        </is>
      </c>
      <c r="E1165" s="45" t="inlineStr">
        <is>
          <t>Measures</t>
        </is>
      </c>
      <c r="F1165" s="12" t="inlineStr">
        <is>
          <t>Audio with flatter response than INMP441</t>
        </is>
      </c>
    </row>
    <row r="1166" outlineLevel="1" ht="15" customHeight="1">
      <c r="A1166" s="45" t="inlineStr">
        <is>
          <t>Modality</t>
        </is>
      </c>
      <c r="B1166" s="12" t="inlineStr">
        <is>
          <t>—</t>
        </is>
      </c>
      <c r="E1166" s="45" t="inlineStr">
        <is>
          <t>Interface</t>
        </is>
      </c>
      <c r="F1166" s="12" t="inlineStr">
        <is>
          <t>I2S</t>
        </is>
      </c>
    </row>
    <row r="1167" outlineLevel="1" ht="15" customHeight="1">
      <c r="A1167" s="45" t="inlineStr">
        <is>
          <t>Supply</t>
        </is>
      </c>
      <c r="B1167" s="12" t="inlineStr">
        <is>
          <t>1.65-3.63V</t>
        </is>
      </c>
      <c r="E1167" s="45" t="inlineStr">
        <is>
          <t>Price</t>
        </is>
      </c>
      <c r="F1167" s="12" t="inlineStr">
        <is>
          <t>$5  ($$)</t>
        </is>
      </c>
    </row>
    <row r="1168" outlineLevel="1" ht="15" customHeight="1">
      <c r="A1168" s="45" t="inlineStr">
        <is>
          <t>Difficulty</t>
        </is>
      </c>
      <c r="B1168" s="12" t="inlineStr">
        <is>
          <t>2 — Easy — breadboard wiring, a well-documented library, no analog thought needed</t>
        </is>
      </c>
    </row>
    <row r="1169" outlineLevel="1" ht="22" customHeight="1">
      <c r="A1169" s="45" t="inlineStr">
        <is>
          <t>HOW</t>
        </is>
      </c>
      <c r="B1169" s="46" t="inlineStr">
        <is>
          <t>Successor-grade MEMS mic with better SNR and tighter frequency response — preferred for measurement and music capture on I2S.</t>
        </is>
      </c>
    </row>
    <row r="1170" outlineLevel="1" ht="18" customHeight="1">
      <c r="A1170" s="45" t="inlineStr">
        <is>
          <t>COMMON</t>
        </is>
      </c>
      <c r="B1170" s="46" t="inlineStr">
        <is>
          <t>Calibrated dB(A) noise meters, field recording, acoustic measurement rigs.</t>
        </is>
      </c>
    </row>
    <row r="1171" outlineLevel="1" ht="22" customHeight="1">
      <c r="A1171" s="45" t="inlineStr">
        <is>
          <t>INVENTION</t>
        </is>
      </c>
      <c r="B1171" s="48" t="inlineStr">
        <is>
          <t>A legal-ish neighbourhood noise logger: timestamped dB(A) histories of that one neighbour's parties, sealed with hash-chained logs.</t>
        </is>
      </c>
    </row>
    <row r="1172" outlineLevel="1" ht="15" customHeight="1">
      <c r="A1172" s="45" t="inlineStr">
        <is>
          <t>PAIRS</t>
        </is>
      </c>
      <c r="B1172" s="46" t="inlineStr">
        <is>
          <t>RTC + SD, sound-level math (A-weighting) libs</t>
        </is>
      </c>
    </row>
    <row r="1173" outlineLevel="1" ht="15" customHeight="1">
      <c r="A1173" s="45" t="inlineStr">
        <is>
          <t>KEY</t>
        </is>
      </c>
      <c r="B1173" s="46" t="inlineStr">
        <is>
          <t>65dB SNR, 50Hz-20kHz</t>
        </is>
      </c>
    </row>
    <row r="1174" outlineLevel="1" ht="16" customHeight="1">
      <c r="A1174" s="45" t="inlineStr">
        <is>
          <t>buy</t>
        </is>
      </c>
      <c r="B1174" s="49" t="inlineStr">
        <is>
          <t>AE · DK · MO · PI   |   boards: Pimoroni/AE breakouts   |   lib: ESP-IDF I2S   [High]</t>
        </is>
      </c>
    </row>
    <row r="1176" ht="22" customHeight="1">
      <c r="A1176" s="54" t="inlineStr">
        <is>
          <t>S089</t>
        </is>
      </c>
      <c r="B1176" s="55" t="inlineStr">
        <is>
          <t>MAX9814 AGC mic amp   ·   MAX9814</t>
        </is>
      </c>
    </row>
    <row r="1177" outlineLevel="1" ht="15" customHeight="1">
      <c r="A1177" s="45" t="inlineStr">
        <is>
          <t>Category</t>
        </is>
      </c>
      <c r="B1177" s="12" t="inlineStr">
        <is>
          <t>Sound &amp; Audio › Analog mic + AGC</t>
        </is>
      </c>
      <c r="E1177" s="45" t="inlineStr">
        <is>
          <t>Measures</t>
        </is>
      </c>
      <c r="F1177" s="12" t="inlineStr">
        <is>
          <t>Audio envelope/waveform with auto gain</t>
        </is>
      </c>
    </row>
    <row r="1178" outlineLevel="1" ht="15" customHeight="1">
      <c r="A1178" s="45" t="inlineStr">
        <is>
          <t>Modality</t>
        </is>
      </c>
      <c r="B1178" s="12" t="inlineStr">
        <is>
          <t>—</t>
        </is>
      </c>
      <c r="E1178" s="45" t="inlineStr">
        <is>
          <t>Interface</t>
        </is>
      </c>
      <c r="F1178" s="12" t="inlineStr">
        <is>
          <t>Analog</t>
        </is>
      </c>
    </row>
    <row r="1179" outlineLevel="1" ht="15" customHeight="1">
      <c r="A1179" s="45" t="inlineStr">
        <is>
          <t>Supply</t>
        </is>
      </c>
      <c r="B1179" s="12" t="inlineStr">
        <is>
          <t>2.7-5.5V</t>
        </is>
      </c>
      <c r="E1179" s="45" t="inlineStr">
        <is>
          <t>Price</t>
        </is>
      </c>
      <c r="F1179" s="12" t="inlineStr">
        <is>
          <t>$7  ($$)</t>
        </is>
      </c>
    </row>
    <row r="1180" outlineLevel="1" ht="15" customHeight="1">
      <c r="A1180" s="45" t="inlineStr">
        <is>
          <t>Difficulty</t>
        </is>
      </c>
      <c r="B1180" s="12" t="inlineStr">
        <is>
          <t>1 — Plug and play — Qwiic/STEMMA cable or 3 wires, library example works first time</t>
        </is>
      </c>
    </row>
    <row r="1181" outlineLevel="1" ht="24" customHeight="1">
      <c r="A1181" s="45" t="inlineStr">
        <is>
          <t>HOW</t>
        </is>
      </c>
      <c r="B1181" s="46" t="inlineStr">
        <is>
          <t>Electret mic plus automatic-gain-control amplifier: quiet sounds boosted, loud sounds compressed — ideal when you care about 'what sound' not 'how loud'.</t>
        </is>
      </c>
    </row>
    <row r="1182" outlineLevel="1" ht="19" customHeight="1">
      <c r="A1182" s="45" t="inlineStr">
        <is>
          <t>COMMON</t>
        </is>
      </c>
      <c r="B1182" s="46" t="inlineStr">
        <is>
          <t>Clap/whistle switches, music-reactive LEDs, baby-cry detectors, coarse audio events.</t>
        </is>
      </c>
    </row>
    <row r="1183" outlineLevel="1" ht="22" customHeight="1">
      <c r="A1183" s="45" t="inlineStr">
        <is>
          <t>INVENTION</t>
        </is>
      </c>
      <c r="B1183" s="48" t="inlineStr">
        <is>
          <t>Whistle-controlled home: different whistle pitches (FFT on ADC) trigger different scenes — a hands-free remote you can't lose.</t>
        </is>
      </c>
    </row>
    <row r="1184" outlineLevel="1" ht="15" customHeight="1">
      <c r="A1184" s="45" t="inlineStr">
        <is>
          <t>PAIRS</t>
        </is>
      </c>
      <c r="B1184" s="46" t="inlineStr">
        <is>
          <t>FFT lib + WS2812, relay scenes</t>
        </is>
      </c>
    </row>
    <row r="1185" outlineLevel="1" ht="15" customHeight="1">
      <c r="A1185" s="45" t="inlineStr">
        <is>
          <t>KEY</t>
        </is>
      </c>
      <c r="B1185" s="46" t="inlineStr">
        <is>
          <t>40/50/60dB selectable max gain</t>
        </is>
      </c>
    </row>
    <row r="1186" outlineLevel="1" ht="16" customHeight="1">
      <c r="A1186" s="45" t="inlineStr">
        <is>
          <t>buy</t>
        </is>
      </c>
      <c r="B1186" s="49" t="inlineStr">
        <is>
          <t>AF · AE · DK   |   boards: Adafruit 1713   |   lib: analogRead/I2S-ADC   [High]</t>
        </is>
      </c>
    </row>
    <row r="1188" ht="22" customHeight="1">
      <c r="A1188" s="54" t="inlineStr">
        <is>
          <t>S090</t>
        </is>
      </c>
      <c r="B1188" s="55" t="inlineStr">
        <is>
          <t>SPH0645 I2S mic   ·   SPH0645LM4H</t>
        </is>
      </c>
    </row>
    <row r="1189" outlineLevel="1" ht="15" customHeight="1">
      <c r="A1189" s="45" t="inlineStr">
        <is>
          <t>Category</t>
        </is>
      </c>
      <c r="B1189" s="12" t="inlineStr">
        <is>
          <t>Sound &amp; Audio › Digital I2S mic</t>
        </is>
      </c>
      <c r="E1189" s="45" t="inlineStr">
        <is>
          <t>Measures</t>
        </is>
      </c>
      <c r="F1189" s="12" t="inlineStr">
        <is>
          <t>Audio, bottom-port MEMS, I2S</t>
        </is>
      </c>
    </row>
    <row r="1190" outlineLevel="1" ht="15" customHeight="1">
      <c r="A1190" s="45" t="inlineStr">
        <is>
          <t>Modality</t>
        </is>
      </c>
      <c r="B1190" s="12" t="inlineStr">
        <is>
          <t>—</t>
        </is>
      </c>
      <c r="E1190" s="45" t="inlineStr">
        <is>
          <t>Interface</t>
        </is>
      </c>
      <c r="F1190" s="12" t="inlineStr">
        <is>
          <t>I2S</t>
        </is>
      </c>
    </row>
    <row r="1191" outlineLevel="1" ht="15" customHeight="1">
      <c r="A1191" s="45" t="inlineStr">
        <is>
          <t>Supply</t>
        </is>
      </c>
      <c r="B1191" s="12" t="inlineStr">
        <is>
          <t>1.62-3.6V</t>
        </is>
      </c>
      <c r="E1191" s="45" t="inlineStr">
        <is>
          <t>Price</t>
        </is>
      </c>
      <c r="F1191" s="12" t="inlineStr">
        <is>
          <t>$7  ($$)</t>
        </is>
      </c>
    </row>
    <row r="1192" outlineLevel="1" ht="15" customHeight="1">
      <c r="A1192" s="45" t="inlineStr">
        <is>
          <t>Difficulty</t>
        </is>
      </c>
      <c r="B1192" s="12" t="inlineStr">
        <is>
          <t>2 — Easy — breadboard wiring, a well-documented library, no analog thought needed</t>
        </is>
      </c>
    </row>
    <row r="1193" outlineLevel="1" ht="20" customHeight="1">
      <c r="A1193" s="45" t="inlineStr">
        <is>
          <t>HOW</t>
        </is>
      </c>
      <c r="B1193" s="46" t="inlineStr">
        <is>
          <t>Knowles MEMS mic on Adafruit's classic I2S breakout — slightly quirky data format but huge tutorial base.</t>
        </is>
      </c>
    </row>
    <row r="1194" outlineLevel="1" ht="16" customHeight="1">
      <c r="A1194" s="45" t="inlineStr">
        <is>
          <t>COMMON</t>
        </is>
      </c>
      <c r="B1194" s="46" t="inlineStr">
        <is>
          <t>Voice assistants, audio logging, classroom DSP experiments.</t>
        </is>
      </c>
    </row>
    <row r="1195" outlineLevel="1" ht="21" customHeight="1">
      <c r="A1195" s="45" t="inlineStr">
        <is>
          <t>INVENTION</t>
        </is>
      </c>
      <c r="B1195" s="48" t="inlineStr">
        <is>
          <t>Two mics at known spacing = sound direction finding via time-difference — build a 'who's talking' camera pointer.</t>
        </is>
      </c>
    </row>
    <row r="1196" outlineLevel="1" ht="15" customHeight="1">
      <c r="A1196" s="45" t="inlineStr">
        <is>
          <t>PAIRS</t>
        </is>
      </c>
      <c r="B1196" s="46" t="inlineStr">
        <is>
          <t>Second mic + cross-correlation, servo pan head</t>
        </is>
      </c>
    </row>
    <row r="1197" outlineLevel="1" ht="15" customHeight="1">
      <c r="A1197" s="45" t="inlineStr">
        <is>
          <t>KEY</t>
        </is>
      </c>
      <c r="B1197" s="46" t="inlineStr">
        <is>
          <t>65dB SNR</t>
        </is>
      </c>
    </row>
    <row r="1198" outlineLevel="1" ht="16" customHeight="1">
      <c r="A1198" s="45" t="inlineStr">
        <is>
          <t>buy</t>
        </is>
      </c>
      <c r="B1198" s="49" t="inlineStr">
        <is>
          <t>AF · DK · CE   |   boards: Adafruit 3421   |   lib: ESP-IDF I2S (18-bit handling)   [High]</t>
        </is>
      </c>
    </row>
    <row r="1200" ht="22" customHeight="1">
      <c r="A1200" s="62" t="inlineStr">
        <is>
          <t>S091</t>
        </is>
      </c>
      <c r="B1200" s="63" t="inlineStr">
        <is>
          <t>Piezo contact mic / disc   ·   27mm piezo disc</t>
        </is>
      </c>
    </row>
    <row r="1201" outlineLevel="1" ht="15" customHeight="1">
      <c r="A1201" s="45" t="inlineStr">
        <is>
          <t>Category</t>
        </is>
      </c>
      <c r="B1201" s="12" t="inlineStr">
        <is>
          <t>Sound &amp; Audio › Contact/structure-borne</t>
        </is>
      </c>
      <c r="E1201" s="45" t="inlineStr">
        <is>
          <t>Measures</t>
        </is>
      </c>
      <c r="F1201" s="12" t="inlineStr">
        <is>
          <t>Vibration IN solid objects (structure-borne sound)</t>
        </is>
      </c>
    </row>
    <row r="1202" outlineLevel="1" ht="15" customHeight="1">
      <c r="A1202" s="45" t="inlineStr">
        <is>
          <t>Modality</t>
        </is>
      </c>
      <c r="B1202" s="12" t="inlineStr">
        <is>
          <t>Acoustic</t>
        </is>
      </c>
      <c r="E1202" s="45" t="inlineStr">
        <is>
          <t>Interface</t>
        </is>
      </c>
      <c r="F1202" s="12" t="inlineStr">
        <is>
          <t>Analog</t>
        </is>
      </c>
    </row>
    <row r="1203" outlineLevel="1" ht="15" customHeight="1">
      <c r="A1203" s="45" t="inlineStr">
        <is>
          <t>Supply</t>
        </is>
      </c>
      <c r="B1203" s="12" t="inlineStr">
        <is>
          <t>passive</t>
        </is>
      </c>
      <c r="E1203" s="45" t="inlineStr">
        <is>
          <t>Price</t>
        </is>
      </c>
      <c r="F1203" s="12" t="inlineStr">
        <is>
          <t>$0.5  ($)</t>
        </is>
      </c>
    </row>
    <row r="1204" outlineLevel="1" ht="15" customHeight="1">
      <c r="A1204" s="45" t="inlineStr">
        <is>
          <t>Difficulty</t>
        </is>
      </c>
      <c r="B1204" s="12" t="inlineStr">
        <is>
          <t>2 — Easy — breadboard wiring, a well-documented library, no analog thought needed</t>
        </is>
      </c>
    </row>
    <row r="1205" outlineLevel="1" ht="26" customHeight="1">
      <c r="A1205" s="45" t="inlineStr">
        <is>
          <t>HOW</t>
        </is>
      </c>
      <c r="B1205" s="46" t="inlineStr">
        <is>
          <t>A piezoelectric ceramic generates voltage when flexed — taped to a surface it hears knocks, scratches and machinery through the material itself, ignoring airborne noise.</t>
        </is>
      </c>
    </row>
    <row r="1206" outlineLevel="1" ht="52" customHeight="1">
      <c r="A1206" s="45" t="inlineStr">
        <is>
          <t>WHAT</t>
        </is>
      </c>
      <c r="B1206" s="47" t="inlineStr">
        <is>
          <t>A struck disc can generate tens of volts and WILL destroy an ADC pin without clamping diodes and a bleed resistor. Its output depends enormously on how well it is bonded to the surface — tape, glue and clamping all give different sensitivities, so readings are not comparable between installs. It is a high-impedance source, so long unshielded leads pick up mains hum that swamps the signal. It hears the structure, not the air, which is a privacy advantage: it cannot resolve speech.</t>
        </is>
      </c>
    </row>
    <row r="1207" outlineLevel="1" ht="20" customHeight="1">
      <c r="A1207" s="45" t="inlineStr">
        <is>
          <t>COMMON</t>
        </is>
      </c>
      <c r="B1207" s="46" t="inlineStr">
        <is>
          <t>Drum triggers, knock sensors, instrument pickups, leak listening on pipes, footstep detection via floor.</t>
        </is>
      </c>
    </row>
    <row r="1208" outlineLevel="1" ht="23" customHeight="1">
      <c r="A1208" s="45" t="inlineStr">
        <is>
          <t>INVENTION</t>
        </is>
      </c>
      <c r="B1208" s="48" t="inlineStr">
        <is>
          <t>Glue to your 3D printer frame: each layer's vibration signature becomes a remote 'print failed' detector when the signature goes wrong.</t>
        </is>
      </c>
    </row>
    <row r="1209" outlineLevel="1" ht="18" customHeight="1">
      <c r="A1209" s="45" t="inlineStr">
        <is>
          <t>REQUIRES</t>
        </is>
      </c>
      <c r="B1209" s="46" t="inlineStr">
        <is>
          <t>Two clamping diodes to 3.3V/GND plus a ~1MΩ bleed resistor before any ADC pin</t>
        </is>
      </c>
    </row>
    <row r="1210" outlineLevel="1" ht="17" customHeight="1">
      <c r="A1210" s="45" t="inlineStr">
        <is>
          <t>SUBSTITUT</t>
        </is>
      </c>
      <c r="B1210" s="46" t="inlineStr">
        <is>
          <t>Calibrated vibration: KX132 or ADXL345. Airborne sound: INMP441.</t>
        </is>
      </c>
    </row>
    <row r="1211" outlineLevel="1" ht="15" customHeight="1">
      <c r="A1211" s="45" t="inlineStr">
        <is>
          <t>PAIRS</t>
        </is>
      </c>
      <c r="B1211" s="46" t="inlineStr">
        <is>
          <t>ESP32 ADC + TinyML on vibration spectra</t>
        </is>
      </c>
    </row>
    <row r="1212" outlineLevel="1" ht="26" customHeight="1">
      <c r="A1212" s="45" t="inlineStr">
        <is>
          <t>KEY</t>
        </is>
      </c>
      <c r="B1212" s="46" t="inlineStr">
        <is>
          <t>Sensitive to taps/flex. ⚠ A struck piezo can generate tens of volts — you MUST clamp it (two diodes to 3.3V/GND) plus a ~1MΩ bleed resistor before it touches an ESP32 ADC pin.</t>
        </is>
      </c>
    </row>
    <row r="1213" outlineLevel="1" ht="28" customHeight="1">
      <c r="A1213" s="45" t="inlineStr">
        <is>
          <t>specs</t>
        </is>
      </c>
      <c r="B1213" s="49" t="inlineStr">
        <is>
          <t>Range: Structure-borne vibration; highly mount-dependent   Accuracy: Relative only   Calibration: Two-point   Environment: Indoor, Harsh   Lifecycle: Active   Maturity: Workable   ESP32: Use ADC1 with clamping; a comparator gives a zero-power wake</t>
        </is>
      </c>
    </row>
    <row r="1214" outlineLevel="1" ht="16" customHeight="1">
      <c r="A1214" s="45" t="inlineStr">
        <is>
          <t>buy</t>
        </is>
      </c>
      <c r="B1214" s="49" t="inlineStr">
        <is>
          <t>AE · AMZ · SF · CE   |   boards: Bare discs, drum-trigger modules   |   lib: analogRead + peak detect   [High, 2026-07]</t>
        </is>
      </c>
    </row>
    <row r="1215" outlineLevel="1" ht="45" customHeight="1">
      <c r="A1215" s="50" t="inlineStr">
        <is>
          <t>unlocks</t>
        </is>
      </c>
      <c r="B1215" s="51" t="inlineStr">
        <is>
          <t>Is it on?  •  Is a bearing starting to fail?  •  Was it dropped, and how hard?  •  Did something sound wrong?  •  Did something cross this line?  •  Has the cycle finished?</t>
        </is>
      </c>
    </row>
    <row r="1217" ht="22" customHeight="1">
      <c r="A1217" s="54" t="inlineStr">
        <is>
          <t>S092</t>
        </is>
      </c>
      <c r="B1217" s="55" t="inlineStr">
        <is>
          <t>DFRobot dB meter   ·   Gravity SEN0232</t>
        </is>
      </c>
    </row>
    <row r="1218" outlineLevel="1" ht="15" customHeight="1">
      <c r="A1218" s="45" t="inlineStr">
        <is>
          <t>Category</t>
        </is>
      </c>
      <c r="B1218" s="12" t="inlineStr">
        <is>
          <t>Sound &amp; Audio › Calibrated SPL</t>
        </is>
      </c>
      <c r="E1218" s="45" t="inlineStr">
        <is>
          <t>Measures</t>
        </is>
      </c>
      <c r="F1218" s="12" t="inlineStr">
        <is>
          <t>Sound pressure level 30-130 dB(A), factory calibrated</t>
        </is>
      </c>
    </row>
    <row r="1219" outlineLevel="1" ht="15" customHeight="1">
      <c r="A1219" s="45" t="inlineStr">
        <is>
          <t>Modality</t>
        </is>
      </c>
      <c r="B1219" s="12" t="inlineStr">
        <is>
          <t>—</t>
        </is>
      </c>
      <c r="E1219" s="45" t="inlineStr">
        <is>
          <t>Interface</t>
        </is>
      </c>
      <c r="F1219" s="12" t="inlineStr">
        <is>
          <t>Analog</t>
        </is>
      </c>
    </row>
    <row r="1220" outlineLevel="1" ht="15" customHeight="1">
      <c r="A1220" s="45" t="inlineStr">
        <is>
          <t>Supply</t>
        </is>
      </c>
      <c r="B1220" s="12" t="inlineStr">
        <is>
          <t>3.3-5V</t>
        </is>
      </c>
      <c r="E1220" s="45" t="inlineStr">
        <is>
          <t>Price</t>
        </is>
      </c>
      <c r="F1220" s="12" t="inlineStr">
        <is>
          <t>$37  ($$$)</t>
        </is>
      </c>
    </row>
    <row r="1221" outlineLevel="1" ht="15" customHeight="1">
      <c r="A1221" s="45" t="inlineStr">
        <is>
          <t>Difficulty</t>
        </is>
      </c>
      <c r="B1221" s="12" t="inlineStr">
        <is>
          <t>1 — Plug and play — Qwiic/STEMMA cable or 3 wires, library example works first time</t>
        </is>
      </c>
    </row>
    <row r="1222" outlineLevel="1" ht="24" customHeight="1">
      <c r="A1222" s="45" t="inlineStr">
        <is>
          <t>HOW</t>
        </is>
      </c>
      <c r="B1222" s="46" t="inlineStr">
        <is>
          <t>A complete metering front-end (mic, A-weighting filter, RMS) outputting a clean analog voltage that maps directly to decibels — skip the DSP homework.</t>
        </is>
      </c>
    </row>
    <row r="1223" outlineLevel="1" ht="18" customHeight="1">
      <c r="A1223" s="45" t="inlineStr">
        <is>
          <t>COMMON</t>
        </is>
      </c>
      <c r="B1223" s="46" t="inlineStr">
        <is>
          <t>Workplace/classroom noise dashboards, venue SPL compliance, machine-loudness QA.</t>
        </is>
      </c>
    </row>
    <row r="1224" outlineLevel="1" ht="22" customHeight="1">
      <c r="A1224" s="45" t="inlineStr">
        <is>
          <t>INVENTION</t>
        </is>
      </c>
      <c r="B1224" s="48" t="inlineStr">
        <is>
          <t>A classroom 'noise thermometer' display students can see — rooms self-regulate when the number is public (proven effect).</t>
        </is>
      </c>
    </row>
    <row r="1225" outlineLevel="1" ht="15" customHeight="1">
      <c r="A1225" s="45" t="inlineStr">
        <is>
          <t>PAIRS</t>
        </is>
      </c>
      <c r="B1225" s="46" t="inlineStr">
        <is>
          <t>Big LED display, MQTT history</t>
        </is>
      </c>
    </row>
    <row r="1226" outlineLevel="1" ht="15" customHeight="1">
      <c r="A1226" s="45" t="inlineStr">
        <is>
          <t>KEY</t>
        </is>
      </c>
      <c r="B1226" s="46" t="inlineStr">
        <is>
          <t>±1.5dB(A), 125ms response</t>
        </is>
      </c>
    </row>
    <row r="1227" outlineLevel="1" ht="16" customHeight="1">
      <c r="A1227" s="45" t="inlineStr">
        <is>
          <t>buy</t>
        </is>
      </c>
      <c r="B1227" s="49" t="inlineStr">
        <is>
          <t>DFR · DK · MO   |   boards: Gravity module   |   lib: analogRead × 0.1 = dB   [High]</t>
        </is>
      </c>
    </row>
    <row r="1229" ht="22" customHeight="1">
      <c r="A1229" s="54" t="inlineStr">
        <is>
          <t>S093</t>
        </is>
      </c>
      <c r="B1229" s="55" t="inlineStr">
        <is>
          <t>Ultrasonic mic experiments   ·   MEMS w/ &gt;80kHz: SPU0410LR5H</t>
        </is>
      </c>
    </row>
    <row r="1230" outlineLevel="1" ht="15" customHeight="1">
      <c r="A1230" s="45" t="inlineStr">
        <is>
          <t>Category</t>
        </is>
      </c>
      <c r="B1230" s="12" t="inlineStr">
        <is>
          <t>Sound &amp; Audio › Ultrasound capture</t>
        </is>
      </c>
      <c r="E1230" s="45" t="inlineStr">
        <is>
          <t>Measures</t>
        </is>
      </c>
      <c r="F1230" s="12" t="inlineStr">
        <is>
          <t>Ultrasound 20-80kHz+ (bat calls, leaks, corona)</t>
        </is>
      </c>
    </row>
    <row r="1231" outlineLevel="1" ht="15" customHeight="1">
      <c r="A1231" s="45" t="inlineStr">
        <is>
          <t>Modality</t>
        </is>
      </c>
      <c r="B1231" s="12" t="inlineStr">
        <is>
          <t>—</t>
        </is>
      </c>
      <c r="E1231" s="45" t="inlineStr">
        <is>
          <t>Interface</t>
        </is>
      </c>
      <c r="F1231" s="12" t="inlineStr">
        <is>
          <t>Analog</t>
        </is>
      </c>
    </row>
    <row r="1232" outlineLevel="1" ht="15" customHeight="1">
      <c r="A1232" s="45" t="inlineStr">
        <is>
          <t>Supply</t>
        </is>
      </c>
      <c r="B1232" s="12" t="inlineStr">
        <is>
          <t>1.5-3.6V</t>
        </is>
      </c>
      <c r="E1232" s="45" t="inlineStr">
        <is>
          <t>Price</t>
        </is>
      </c>
      <c r="F1232" s="12" t="inlineStr">
        <is>
          <t>$6  ($$)</t>
        </is>
      </c>
    </row>
    <row r="1233" outlineLevel="1" ht="15" customHeight="1">
      <c r="A1233" s="45" t="inlineStr">
        <is>
          <t>Difficulty</t>
        </is>
      </c>
      <c r="B1233" s="12" t="inlineStr">
        <is>
          <t>4 — Advanced — analog front-ends, protocol work, mechanical integration, or real safety</t>
        </is>
      </c>
    </row>
    <row r="1234" outlineLevel="1" ht="23" customHeight="1">
      <c r="A1234" s="45" t="inlineStr">
        <is>
          <t>HOW</t>
        </is>
      </c>
      <c r="B1234" s="46" t="inlineStr">
        <is>
          <t>Some MEMS mics respond far above human hearing; sampled fast (I2S/ADC) and pitch-shifted down, the ultrasonic world becomes audible.</t>
        </is>
      </c>
    </row>
    <row r="1235" outlineLevel="1" ht="20" customHeight="1">
      <c r="A1235" s="45" t="inlineStr">
        <is>
          <t>COMMON</t>
        </is>
      </c>
      <c r="B1235" s="46" t="inlineStr">
        <is>
          <t>Bat detectors, compressed-air leak finders, rodent ultrasound monitoring, corona discharge detection.</t>
        </is>
      </c>
    </row>
    <row r="1236" outlineLevel="1" ht="22" customHeight="1">
      <c r="A1236" s="45" t="inlineStr">
        <is>
          <t>INVENTION</t>
        </is>
      </c>
      <c r="B1236" s="48" t="inlineStr">
        <is>
          <t>A garden bat census station: nightly call counts and species-guess spectra uploaded — contribute to actual ecology datasets.</t>
        </is>
      </c>
    </row>
    <row r="1237" outlineLevel="1" ht="16" customHeight="1">
      <c r="A1237" s="45" t="inlineStr">
        <is>
          <t>PAIRS</t>
        </is>
      </c>
      <c r="B1237" s="46" t="inlineStr">
        <is>
          <t>SD spectrogram logging, TinyML species classifier</t>
        </is>
      </c>
    </row>
    <row r="1238" outlineLevel="1" ht="15" customHeight="1">
      <c r="A1238" s="45" t="inlineStr">
        <is>
          <t>KEY</t>
        </is>
      </c>
      <c r="B1238" s="46" t="inlineStr">
        <is>
          <t>Needs ≥192kHz sampling for bats</t>
        </is>
      </c>
    </row>
    <row r="1239" outlineLevel="1" ht="16" customHeight="1">
      <c r="A1239" s="45" t="inlineStr">
        <is>
          <t>buy</t>
        </is>
      </c>
      <c r="B1239" s="49" t="inlineStr">
        <is>
          <t>DK · MO · AE   |   boards: Bare SMD + custom carrier; ESP32-S3 I2S @ high rate   |   lib: Custom DSP, heterodyne mix   [High]</t>
        </is>
      </c>
    </row>
    <row r="1241" ht="22" customHeight="1">
      <c r="A1241" s="54" t="inlineStr">
        <is>
          <t>S094</t>
        </is>
      </c>
      <c r="B1241" s="55" t="inlineStr">
        <is>
          <t>SW-420 vibration switch   ·   SW-420</t>
        </is>
      </c>
    </row>
    <row r="1242" outlineLevel="1" ht="15" customHeight="1">
      <c r="A1242" s="45" t="inlineStr">
        <is>
          <t>Category</t>
        </is>
      </c>
      <c r="B1242" s="12" t="inlineStr">
        <is>
          <t>Motion &amp; Vibration › Threshold switch</t>
        </is>
      </c>
      <c r="E1242" s="45" t="inlineStr">
        <is>
          <t>Measures</t>
        </is>
      </c>
      <c r="F1242" s="12" t="inlineStr">
        <is>
          <t>Vibration above a crude threshold (on/off)</t>
        </is>
      </c>
    </row>
    <row r="1243" outlineLevel="1" ht="15" customHeight="1">
      <c r="A1243" s="45" t="inlineStr">
        <is>
          <t>Modality</t>
        </is>
      </c>
      <c r="B1243" s="12" t="inlineStr">
        <is>
          <t>—</t>
        </is>
      </c>
      <c r="E1243" s="45" t="inlineStr">
        <is>
          <t>Interface</t>
        </is>
      </c>
      <c r="F1243" s="12" t="inlineStr">
        <is>
          <t>Digital</t>
        </is>
      </c>
    </row>
    <row r="1244" outlineLevel="1" ht="15" customHeight="1">
      <c r="A1244" s="45" t="inlineStr">
        <is>
          <t>Supply</t>
        </is>
      </c>
      <c r="B1244" s="12" t="inlineStr">
        <is>
          <t>3.3-5V</t>
        </is>
      </c>
      <c r="E1244" s="45" t="inlineStr">
        <is>
          <t>Price</t>
        </is>
      </c>
      <c r="F1244" s="12" t="inlineStr">
        <is>
          <t>$1  ($)</t>
        </is>
      </c>
    </row>
    <row r="1245" outlineLevel="1" ht="15" customHeight="1">
      <c r="A1245" s="45" t="inlineStr">
        <is>
          <t>Difficulty</t>
        </is>
      </c>
      <c r="B1245" s="12" t="inlineStr">
        <is>
          <t>1 — Plug and play — Qwiic/STEMMA cable or 3 wires, library example works first time</t>
        </is>
      </c>
    </row>
    <row r="1246" outlineLevel="1" ht="23" customHeight="1">
      <c r="A1246" s="45" t="inlineStr">
        <is>
          <t>HOW</t>
        </is>
      </c>
      <c r="B1246" s="46" t="inlineStr">
        <is>
          <t>A springy conductor inside a tube breaks contact when shaken; a comparator turns that into a digital pulse — no spectra, just 'it shook'.</t>
        </is>
      </c>
    </row>
    <row r="1247" outlineLevel="1" ht="18" customHeight="1">
      <c r="A1247" s="45" t="inlineStr">
        <is>
          <t>COMMON</t>
        </is>
      </c>
      <c r="B1247" s="46" t="inlineStr">
        <is>
          <t>Tamper alarms, machine on/off detection, earthquake toys, bike movement alarms.</t>
        </is>
      </c>
    </row>
    <row r="1248" outlineLevel="1" ht="22" customHeight="1">
      <c r="A1248" s="45" t="inlineStr">
        <is>
          <t>INVENTION</t>
        </is>
      </c>
      <c r="B1248" s="48" t="inlineStr">
        <is>
          <t>Cheap fleet thinking: $1 per machine tells you duty cycles of every appliance in a workshop — utilisation data for nearly nothing.</t>
        </is>
      </c>
    </row>
    <row r="1249" outlineLevel="1" ht="15" customHeight="1">
      <c r="A1249" s="45" t="inlineStr">
        <is>
          <t>PAIRS</t>
        </is>
      </c>
      <c r="B1249" s="46" t="inlineStr">
        <is>
          <t>PCNT to count events, ESP-NOW reporting</t>
        </is>
      </c>
    </row>
    <row r="1250" outlineLevel="1" ht="15" customHeight="1">
      <c r="A1250" s="45" t="inlineStr">
        <is>
          <t>KEY</t>
        </is>
      </c>
      <c r="B1250" s="46" t="inlineStr">
        <is>
          <t>Pot-adjustable sensitivity, bouncy output</t>
        </is>
      </c>
    </row>
    <row r="1251" outlineLevel="1" ht="16" customHeight="1">
      <c r="A1251" s="45" t="inlineStr">
        <is>
          <t>buy</t>
        </is>
      </c>
      <c r="B1251" s="49" t="inlineStr">
        <is>
          <t>AE · AMZ · DFR   |   boards: SW-420 comparator module   |   lib: digitalRead + debounce   [High]</t>
        </is>
      </c>
    </row>
    <row r="1253" ht="22" customHeight="1">
      <c r="A1253" s="54" t="inlineStr">
        <is>
          <t>S095</t>
        </is>
      </c>
      <c r="B1253" s="55" t="inlineStr">
        <is>
          <t>801S vibration sensor   ·   801S</t>
        </is>
      </c>
    </row>
    <row r="1254" outlineLevel="1" ht="15" customHeight="1">
      <c r="A1254" s="45" t="inlineStr">
        <is>
          <t>Category</t>
        </is>
      </c>
      <c r="B1254" s="12" t="inlineStr">
        <is>
          <t>Motion &amp; Vibration › Analog sensitivity</t>
        </is>
      </c>
      <c r="E1254" s="45" t="inlineStr">
        <is>
          <t>Measures</t>
        </is>
      </c>
      <c r="F1254" s="12" t="inlineStr">
        <is>
          <t>Vibration intensity (analog) at higher sensitivity</t>
        </is>
      </c>
    </row>
    <row r="1255" outlineLevel="1" ht="15" customHeight="1">
      <c r="A1255" s="45" t="inlineStr">
        <is>
          <t>Modality</t>
        </is>
      </c>
      <c r="B1255" s="12" t="inlineStr">
        <is>
          <t>—</t>
        </is>
      </c>
      <c r="E1255" s="45" t="inlineStr">
        <is>
          <t>Interface</t>
        </is>
      </c>
      <c r="F1255" s="12" t="inlineStr">
        <is>
          <t>Analog / Digital</t>
        </is>
      </c>
    </row>
    <row r="1256" outlineLevel="1" ht="15" customHeight="1">
      <c r="A1256" s="45" t="inlineStr">
        <is>
          <t>Supply</t>
        </is>
      </c>
      <c r="B1256" s="12" t="inlineStr">
        <is>
          <t>5V</t>
        </is>
      </c>
      <c r="E1256" s="45" t="inlineStr">
        <is>
          <t>Price</t>
        </is>
      </c>
      <c r="F1256" s="12" t="inlineStr">
        <is>
          <t>$3  ($)</t>
        </is>
      </c>
    </row>
    <row r="1257" outlineLevel="1" ht="15" customHeight="1">
      <c r="A1257" s="45" t="inlineStr">
        <is>
          <t>Difficulty</t>
        </is>
      </c>
      <c r="B1257" s="12" t="inlineStr">
        <is>
          <t>1 — Plug and play — Qwiic/STEMMA cable or 3 wires, library example works first time</t>
        </is>
      </c>
    </row>
    <row r="1258" outlineLevel="1" ht="22" customHeight="1">
      <c r="A1258" s="45" t="inlineStr">
        <is>
          <t>HOW</t>
        </is>
      </c>
      <c r="B1258" s="46" t="inlineStr">
        <is>
          <t>Spring-mass element with analog output proportional-ish to vibration energy — between a crude switch and a real accelerometer.</t>
        </is>
      </c>
    </row>
    <row r="1259" outlineLevel="1" ht="18" customHeight="1">
      <c r="A1259" s="45" t="inlineStr">
        <is>
          <t>COMMON</t>
        </is>
      </c>
      <c r="B1259" s="46" t="inlineStr">
        <is>
          <t>Pump/compressor health trending, washing machine end-of-cycle, fan imbalance.</t>
        </is>
      </c>
    </row>
    <row r="1260" outlineLevel="1" ht="23" customHeight="1">
      <c r="A1260" s="45" t="inlineStr">
        <is>
          <t>INVENTION</t>
        </is>
      </c>
      <c r="B1260" s="48" t="inlineStr">
        <is>
          <t>Trend, don't threshold: daily vibration averages drifting upward = bearing wearing out — the cheapest predictive maintenance there is.</t>
        </is>
      </c>
    </row>
    <row r="1261" outlineLevel="1" ht="15" customHeight="1">
      <c r="A1261" s="45" t="inlineStr">
        <is>
          <t>PAIRS</t>
        </is>
      </c>
      <c r="B1261" s="46" t="inlineStr">
        <is>
          <t>MQTT + dashboard trend lines</t>
        </is>
      </c>
    </row>
    <row r="1262" outlineLevel="1" ht="15" customHeight="1">
      <c r="A1262" s="45" t="inlineStr">
        <is>
          <t>KEY</t>
        </is>
      </c>
      <c r="B1262" s="46" t="inlineStr">
        <is>
          <t>Gold-plated contact version of the genre</t>
        </is>
      </c>
    </row>
    <row r="1263" outlineLevel="1" ht="16" customHeight="1">
      <c r="A1263" s="45" t="inlineStr">
        <is>
          <t>buy</t>
        </is>
      </c>
      <c r="B1263" s="49" t="inlineStr">
        <is>
          <t>AE · AMZ   |   boards: 801S module   |   lib: analogRead   [High]</t>
        </is>
      </c>
    </row>
    <row r="1265" ht="22" customHeight="1">
      <c r="A1265" s="54" t="inlineStr">
        <is>
          <t>S096</t>
        </is>
      </c>
      <c r="B1265" s="55" t="inlineStr">
        <is>
          <t>Geophone SM-24   ·   SM-24 element</t>
        </is>
      </c>
    </row>
    <row r="1266" outlineLevel="1" ht="15" customHeight="1">
      <c r="A1266" s="45" t="inlineStr">
        <is>
          <t>Category</t>
        </is>
      </c>
      <c r="B1266" s="12" t="inlineStr">
        <is>
          <t>Motion &amp; Vibration › Seismic (ground)</t>
        </is>
      </c>
      <c r="E1266" s="45" t="inlineStr">
        <is>
          <t>Measures</t>
        </is>
      </c>
      <c r="F1266" s="12" t="inlineStr">
        <is>
          <t>Ground velocity — footsteps, vehicles, earthquakes</t>
        </is>
      </c>
    </row>
    <row r="1267" outlineLevel="1" ht="15" customHeight="1">
      <c r="A1267" s="45" t="inlineStr">
        <is>
          <t>Modality</t>
        </is>
      </c>
      <c r="B1267" s="12" t="inlineStr">
        <is>
          <t>—</t>
        </is>
      </c>
      <c r="E1267" s="45" t="inlineStr">
        <is>
          <t>Interface</t>
        </is>
      </c>
      <c r="F1267" s="12" t="inlineStr">
        <is>
          <t>Analog</t>
        </is>
      </c>
    </row>
    <row r="1268" outlineLevel="1" ht="15" customHeight="1">
      <c r="A1268" s="45" t="inlineStr">
        <is>
          <t>Supply</t>
        </is>
      </c>
      <c r="B1268" s="12" t="inlineStr">
        <is>
          <t>passive</t>
        </is>
      </c>
      <c r="E1268" s="45" t="inlineStr">
        <is>
          <t>Price</t>
        </is>
      </c>
      <c r="F1268" s="12" t="inlineStr">
        <is>
          <t>$30  ($$$)</t>
        </is>
      </c>
    </row>
    <row r="1269" outlineLevel="1" ht="15" customHeight="1">
      <c r="A1269" s="45" t="inlineStr">
        <is>
          <t>Difficulty</t>
        </is>
      </c>
      <c r="B1269" s="12" t="inlineStr">
        <is>
          <t>4 — Advanced — analog front-ends, protocol work, mechanical integration, or real safety</t>
        </is>
      </c>
    </row>
    <row r="1270" outlineLevel="1" ht="27" customHeight="1">
      <c r="A1270" s="45" t="inlineStr">
        <is>
          <t>HOW</t>
        </is>
      </c>
      <c r="B1270" s="46" t="inlineStr">
        <is>
          <t>A magnet suspended on springs inside a coil: ground motion moves the coil through the field, generating voltage proportional to velocity. Pure analog physics, exquisitely sensitive.</t>
        </is>
      </c>
    </row>
    <row r="1271" outlineLevel="1" ht="20" customHeight="1">
      <c r="A1271" s="45" t="inlineStr">
        <is>
          <t>COMMON</t>
        </is>
      </c>
      <c r="B1271" s="46" t="inlineStr">
        <is>
          <t>Footstep perimeter detection, traffic counting through ground, quarry-blast logging, DIY seismology.</t>
        </is>
      </c>
    </row>
    <row r="1272" outlineLevel="1" ht="23" customHeight="1">
      <c r="A1272" s="45" t="inlineStr">
        <is>
          <t>INVENTION</t>
        </is>
      </c>
      <c r="B1272" s="48" t="inlineStr">
        <is>
          <t>Buried driveway sensor that counts vehicles and distinguishes footsteps from cars by spectral signature — invisible, unjammable, weatherproof.</t>
        </is>
      </c>
    </row>
    <row r="1273" outlineLevel="1" ht="15" customHeight="1">
      <c r="A1273" s="45" t="inlineStr">
        <is>
          <t>PAIRS</t>
        </is>
      </c>
      <c r="B1273" s="46" t="inlineStr">
        <is>
          <t>ADS1115/1256 ADC, TinyML signature classifier</t>
        </is>
      </c>
    </row>
    <row r="1274" outlineLevel="1" ht="16" customHeight="1">
      <c r="A1274" s="45" t="inlineStr">
        <is>
          <t>KEY</t>
        </is>
      </c>
      <c r="B1274" s="46" t="inlineStr">
        <is>
          <t>10Hz natural freq, 28.8 V/(m/s); pair with 24-bit ADC</t>
        </is>
      </c>
    </row>
    <row r="1275" outlineLevel="1" ht="16" customHeight="1">
      <c r="A1275" s="45" t="inlineStr">
        <is>
          <t>buy</t>
        </is>
      </c>
      <c r="B1275" s="49" t="inlineStr">
        <is>
          <t>SF · DK · MO   |   boards: SparkFun SEN-11744 + ADS1256/ADS1115   |   lib: Custom ADC pipeline   [High]</t>
        </is>
      </c>
    </row>
    <row r="1277" ht="22" customHeight="1">
      <c r="A1277" s="54" t="inlineStr">
        <is>
          <t>S097</t>
        </is>
      </c>
      <c r="B1277" s="55" t="inlineStr">
        <is>
          <t>Piezo shock/knock element   ·   LDT0-028K</t>
        </is>
      </c>
    </row>
    <row r="1278" outlineLevel="1" ht="15" customHeight="1">
      <c r="A1278" s="45" t="inlineStr">
        <is>
          <t>Category</t>
        </is>
      </c>
      <c r="B1278" s="12" t="inlineStr">
        <is>
          <t>Motion &amp; Vibration › Piezo film</t>
        </is>
      </c>
      <c r="E1278" s="45" t="inlineStr">
        <is>
          <t>Measures</t>
        </is>
      </c>
      <c r="F1278" s="12" t="inlineStr">
        <is>
          <t>Flex, shock, and vibration as voltage spikes</t>
        </is>
      </c>
    </row>
    <row r="1279" outlineLevel="1" ht="15" customHeight="1">
      <c r="A1279" s="45" t="inlineStr">
        <is>
          <t>Modality</t>
        </is>
      </c>
      <c r="B1279" s="12" t="inlineStr">
        <is>
          <t>—</t>
        </is>
      </c>
      <c r="E1279" s="45" t="inlineStr">
        <is>
          <t>Interface</t>
        </is>
      </c>
      <c r="F1279" s="12" t="inlineStr">
        <is>
          <t>Analog</t>
        </is>
      </c>
    </row>
    <row r="1280" outlineLevel="1" ht="15" customHeight="1">
      <c r="A1280" s="45" t="inlineStr">
        <is>
          <t>Supply</t>
        </is>
      </c>
      <c r="B1280" s="12" t="inlineStr">
        <is>
          <t>passive</t>
        </is>
      </c>
      <c r="E1280" s="45" t="inlineStr">
        <is>
          <t>Price</t>
        </is>
      </c>
      <c r="F1280" s="12" t="inlineStr">
        <is>
          <t>$3  ($)</t>
        </is>
      </c>
    </row>
    <row r="1281" outlineLevel="1" ht="15" customHeight="1">
      <c r="A1281" s="45" t="inlineStr">
        <is>
          <t>Difficulty</t>
        </is>
      </c>
      <c r="B1281" s="12" t="inlineStr">
        <is>
          <t>2 — Easy — breadboard wiring, a well-documented library, no analog thought needed</t>
        </is>
      </c>
    </row>
    <row r="1282" outlineLevel="1" ht="22" customHeight="1">
      <c r="A1282" s="45" t="inlineStr">
        <is>
          <t>HOW</t>
        </is>
      </c>
      <c r="B1282" s="46" t="inlineStr">
        <is>
          <t>PVDF piezo film on a flexible substrate — bends generate clean voltage spikes; with a tip mass it becomes a tuned vibration sensor.</t>
        </is>
      </c>
    </row>
    <row r="1283" outlineLevel="1" ht="18" customHeight="1">
      <c r="A1283" s="45" t="inlineStr">
        <is>
          <t>COMMON</t>
        </is>
      </c>
      <c r="B1283" s="46" t="inlineStr">
        <is>
          <t>Impact counting, flap/flutter detection, low-frequency vibration energy studies.</t>
        </is>
      </c>
    </row>
    <row r="1284" outlineLevel="1" ht="22" customHeight="1">
      <c r="A1284" s="45" t="inlineStr">
        <is>
          <t>INVENTION</t>
        </is>
      </c>
      <c r="B1284" s="48" t="inlineStr">
        <is>
          <t>Window-tap doorbell for a workshop: knock the glass twice, the film hears it, the door buzzes open — no exposed hardware outside.</t>
        </is>
      </c>
    </row>
    <row r="1285" outlineLevel="1" ht="16" customHeight="1">
      <c r="A1285" s="45" t="inlineStr">
        <is>
          <t>PAIRS</t>
        </is>
      </c>
      <c r="B1285" s="46" t="inlineStr">
        <is>
          <t>Comparator wake circuits for zero-idle-power sensing</t>
        </is>
      </c>
    </row>
    <row r="1286" outlineLevel="1" ht="15" customHeight="1">
      <c r="A1286" s="45" t="inlineStr">
        <is>
          <t>KEY</t>
        </is>
      </c>
      <c r="B1286" s="46" t="inlineStr">
        <is>
          <t>Resonant ~180Hz with mass; very high impedance</t>
        </is>
      </c>
    </row>
    <row r="1287" outlineLevel="1" ht="16" customHeight="1">
      <c r="A1287" s="45" t="inlineStr">
        <is>
          <t>buy</t>
        </is>
      </c>
      <c r="B1287" s="49" t="inlineStr">
        <is>
          <t>DK · MO · SF   |   boards: LDT0-028K bare film   |   lib: analogRead + clamp diodes   [High]</t>
        </is>
      </c>
    </row>
    <row r="1289" ht="22" customHeight="1">
      <c r="A1289" s="58" t="inlineStr">
        <is>
          <t>S098</t>
        </is>
      </c>
      <c r="B1289" s="59" t="inlineStr">
        <is>
          <t>HX711 + load cell   ·   HX711 + 1/5/20kg cells</t>
        </is>
      </c>
    </row>
    <row r="1290" outlineLevel="1" ht="15" customHeight="1">
      <c r="A1290" s="45" t="inlineStr">
        <is>
          <t>Category</t>
        </is>
      </c>
      <c r="B1290" s="12" t="inlineStr">
        <is>
          <t>Force &amp; Weight › Load cell ADC</t>
        </is>
      </c>
      <c r="E1290" s="45" t="inlineStr">
        <is>
          <t>Measures</t>
        </is>
      </c>
      <c r="F1290" s="12" t="inlineStr">
        <is>
          <t>Weight/force from grams to hundreds of kg</t>
        </is>
      </c>
    </row>
    <row r="1291" outlineLevel="1" ht="15" customHeight="1">
      <c r="A1291" s="45" t="inlineStr">
        <is>
          <t>Modality</t>
        </is>
      </c>
      <c r="B1291" s="12" t="inlineStr">
        <is>
          <t>Mechanical</t>
        </is>
      </c>
      <c r="E1291" s="45" t="inlineStr">
        <is>
          <t>Interface</t>
        </is>
      </c>
      <c r="F1291" s="12" t="inlineStr">
        <is>
          <t>UART</t>
        </is>
      </c>
    </row>
    <row r="1292" outlineLevel="1" ht="15" customHeight="1">
      <c r="A1292" s="45" t="inlineStr">
        <is>
          <t>Supply</t>
        </is>
      </c>
      <c r="B1292" s="12" t="inlineStr">
        <is>
          <t>2.6-5.5V</t>
        </is>
      </c>
      <c r="E1292" s="45" t="inlineStr">
        <is>
          <t>Price</t>
        </is>
      </c>
      <c r="F1292" s="12" t="inlineStr">
        <is>
          <t>$5  ($$)</t>
        </is>
      </c>
    </row>
    <row r="1293" outlineLevel="1" ht="15" customHeight="1">
      <c r="A1293" s="45" t="inlineStr">
        <is>
          <t>Difficulty</t>
        </is>
      </c>
      <c r="B1293" s="12" t="inlineStr">
        <is>
          <t>2 — Easy — breadboard wiring, a well-documented library, no analog thought needed</t>
        </is>
      </c>
    </row>
    <row r="1294" outlineLevel="1" ht="24" customHeight="1">
      <c r="A1294" s="45" t="inlineStr">
        <is>
          <t>HOW</t>
        </is>
      </c>
      <c r="B1294" s="46" t="inlineStr">
        <is>
          <t>Strain gauges on an aluminium beam change resistance microscopically under load; the HX711's 24-bit ADC amplifies that whisper into stable grams.</t>
        </is>
      </c>
    </row>
    <row r="1295" outlineLevel="1" ht="52" customHeight="1">
      <c r="A1295" s="45" t="inlineStr">
        <is>
          <t>WHAT</t>
        </is>
      </c>
      <c r="B1295" s="47" t="inlineStr">
        <is>
          <t>Creep is the big one: leave a constant load on a cell and the reading drifts downward over hours, so a beehive or gas-bottle scale needs periodic re-zeroing or drift correction. Temperature shifts both zero and span, which outdoors is a larger error than the thing you are measuring. Mounting is everything — the cell must be loaded along its intended axis with no side force, and overloading past ~150% deforms it permanently and silently. The HX711 is noisy near switching supplies.</t>
        </is>
      </c>
    </row>
    <row r="1296" outlineLevel="1" ht="19" customHeight="1">
      <c r="A1296" s="45" t="inlineStr">
        <is>
          <t>COMMON</t>
        </is>
      </c>
      <c r="B1296" s="46" t="inlineStr">
        <is>
          <t>Kitchen/parcel scales, beehive weight, keg/propane levels, filament remaining, pet food bowls.</t>
        </is>
      </c>
    </row>
    <row r="1297" outlineLevel="1" ht="23" customHeight="1">
      <c r="A1297" s="45" t="inlineStr">
        <is>
          <t>INVENTION</t>
        </is>
      </c>
      <c r="B1297" s="48" t="inlineStr">
        <is>
          <t>Weigh EVERYTHING that depletes: coffee beans, cat food, gas bottle, 3D filament — weight-over-time is the most underrated household telemetry.</t>
        </is>
      </c>
    </row>
    <row r="1298" outlineLevel="1" ht="17" customHeight="1">
      <c r="A1298" s="45" t="inlineStr">
        <is>
          <t>REQUIRES</t>
        </is>
      </c>
      <c r="B1298" s="46" t="inlineStr">
        <is>
          <t>A load cell (sold separately) and rigid, correctly-oriented mounting</t>
        </is>
      </c>
    </row>
    <row r="1299" outlineLevel="1" ht="17" customHeight="1">
      <c r="A1299" s="45" t="inlineStr">
        <is>
          <t>SUBSTITUT</t>
        </is>
      </c>
      <c r="B1299" s="46" t="inlineStr">
        <is>
          <t>Quieter and I2C-native: NAU7802. Tiny forces: FSR (qualitative only).</t>
        </is>
      </c>
    </row>
    <row r="1300" outlineLevel="1" ht="16" customHeight="1">
      <c r="A1300" s="45" t="inlineStr">
        <is>
          <t>PAIRS</t>
        </is>
      </c>
      <c r="B1300" s="46" t="inlineStr">
        <is>
          <t>ePaper 'days remaining' display, MQTT pantry dashboard</t>
        </is>
      </c>
    </row>
    <row r="1301" outlineLevel="1" ht="15" customHeight="1">
      <c r="A1301" s="45" t="inlineStr">
        <is>
          <t>KEY</t>
        </is>
      </c>
      <c r="B1301" s="46" t="inlineStr">
        <is>
          <t>24-bit, with 4 cells = full platform scale</t>
        </is>
      </c>
    </row>
    <row r="1302" outlineLevel="1" ht="31" customHeight="1">
      <c r="A1302" s="45" t="inlineStr">
        <is>
          <t>specs</t>
        </is>
      </c>
      <c r="B1302" s="49" t="inlineStr">
        <is>
          <t>Range: 1 g to hundreds of kg depending on the cell   Accuracy: 0.05% of full scale, at best   Rate: 10 or 80 Hz (HX711 jumper)   Calibration: Two-point   Environment: Indoor   Lifecycle: Active   Maturity: Excellent   ESP32: Any variant; the HX711 protocol is bit-banged and timing-tolerant</t>
        </is>
      </c>
    </row>
    <row r="1303" outlineLevel="1" ht="16" customHeight="1">
      <c r="A1303" s="45" t="inlineStr">
        <is>
          <t>buy</t>
        </is>
      </c>
      <c r="B1303" s="49" t="inlineStr">
        <is>
          <t>AE · SF · AMZ · DFR · CE   |   boards: HX711 green board + bar/disc cells   |   lib: HX711 (bogde)   [High, 2026-07]</t>
        </is>
      </c>
    </row>
    <row r="1304" outlineLevel="1" ht="45" customHeight="1">
      <c r="A1304" s="50" t="inlineStr">
        <is>
          <t>unlocks</t>
        </is>
      </c>
      <c r="B1304" s="51" t="inlineStr">
        <is>
          <t>How much is left, and how long until it runs out?  •  How full is it?  •  Is anyone here?  •  What is the beehive doing?  •  Is the thing there?  •  How many went past?  •  What posture is this body in?</t>
        </is>
      </c>
    </row>
    <row r="1306" ht="22" customHeight="1">
      <c r="A1306" s="54" t="inlineStr">
        <is>
          <t>S099</t>
        </is>
      </c>
      <c r="B1306" s="55" t="inlineStr">
        <is>
          <t>FSR402 force resistor   ·   FSR402 / FSR406</t>
        </is>
      </c>
    </row>
    <row r="1307" outlineLevel="1" ht="15" customHeight="1">
      <c r="A1307" s="45" t="inlineStr">
        <is>
          <t>Category</t>
        </is>
      </c>
      <c r="B1307" s="12" t="inlineStr">
        <is>
          <t>Force &amp; Weight › Force-sensitive resistor</t>
        </is>
      </c>
      <c r="E1307" s="45" t="inlineStr">
        <is>
          <t>Measures</t>
        </is>
      </c>
      <c r="F1307" s="12" t="inlineStr">
        <is>
          <t>Press force 0.1-10N (qualitative)</t>
        </is>
      </c>
    </row>
    <row r="1308" outlineLevel="1" ht="15" customHeight="1">
      <c r="A1308" s="45" t="inlineStr">
        <is>
          <t>Modality</t>
        </is>
      </c>
      <c r="B1308" s="12" t="inlineStr">
        <is>
          <t>—</t>
        </is>
      </c>
      <c r="E1308" s="45" t="inlineStr">
        <is>
          <t>Interface</t>
        </is>
      </c>
      <c r="F1308" s="12" t="inlineStr">
        <is>
          <t>Analog</t>
        </is>
      </c>
    </row>
    <row r="1309" outlineLevel="1" ht="15" customHeight="1">
      <c r="A1309" s="45" t="inlineStr">
        <is>
          <t>Supply</t>
        </is>
      </c>
      <c r="B1309" s="12" t="inlineStr">
        <is>
          <t>any</t>
        </is>
      </c>
      <c r="E1309" s="45" t="inlineStr">
        <is>
          <t>Price</t>
        </is>
      </c>
      <c r="F1309" s="12" t="inlineStr">
        <is>
          <t>$7  ($$)</t>
        </is>
      </c>
    </row>
    <row r="1310" outlineLevel="1" ht="15" customHeight="1">
      <c r="A1310" s="45" t="inlineStr">
        <is>
          <t>Difficulty</t>
        </is>
      </c>
      <c r="B1310" s="12" t="inlineStr">
        <is>
          <t>1 — Plug and play — Qwiic/STEMMA cable or 3 wires, library example works first time</t>
        </is>
      </c>
    </row>
    <row r="1311" outlineLevel="1" ht="24" customHeight="1">
      <c r="A1311" s="45" t="inlineStr">
        <is>
          <t>HOW</t>
        </is>
      </c>
      <c r="B1311" s="46" t="inlineStr">
        <is>
          <t>Conductive polymer ink whose particle contacts increase with pressure, dropping resistance — a squeeze-sensitive sticker, repeatable-ish but not a scale.</t>
        </is>
      </c>
    </row>
    <row r="1312" outlineLevel="1" ht="19" customHeight="1">
      <c r="A1312" s="45" t="inlineStr">
        <is>
          <t>COMMON</t>
        </is>
      </c>
      <c r="B1312" s="46" t="inlineStr">
        <is>
          <t>Grip strength toys, seat/bed occupancy, pressure-sensitive drum pads, robot gripper feedback.</t>
        </is>
      </c>
    </row>
    <row r="1313" outlineLevel="1" ht="22" customHeight="1">
      <c r="A1313" s="45" t="inlineStr">
        <is>
          <t>INVENTION</t>
        </is>
      </c>
      <c r="B1313" s="48" t="inlineStr">
        <is>
          <t>A medication-bottle coaster that knows when the bottle was lifted (dose taken) — adherence tracking with zero patient effort.</t>
        </is>
      </c>
    </row>
    <row r="1314" outlineLevel="1" ht="15" customHeight="1">
      <c r="A1314" s="45" t="inlineStr">
        <is>
          <t>PAIRS</t>
        </is>
      </c>
      <c r="B1314" s="46" t="inlineStr">
        <is>
          <t>RTC for dose times, BLE to caregiver app</t>
        </is>
      </c>
    </row>
    <row r="1315" outlineLevel="1" ht="15" customHeight="1">
      <c r="A1315" s="45" t="inlineStr">
        <is>
          <t>KEY</t>
        </is>
      </c>
      <c r="B1315" s="46" t="inlineStr">
        <is>
          <t>0.1N threshold, 10% repeatability</t>
        </is>
      </c>
    </row>
    <row r="1316" outlineLevel="1" ht="16" customHeight="1">
      <c r="A1316" s="45" t="inlineStr">
        <is>
          <t>buy</t>
        </is>
      </c>
      <c r="B1316" s="49" t="inlineStr">
        <is>
          <t>AF · SF · DK · CE   |   boards: Interlink FSR402 (round) / 406 (square)   |   lib: analogRead   [High]</t>
        </is>
      </c>
    </row>
    <row r="1318" ht="22" customHeight="1">
      <c r="A1318" s="54" t="inlineStr">
        <is>
          <t>S100</t>
        </is>
      </c>
      <c r="B1318" s="55" t="inlineStr">
        <is>
          <t>Velostat pressure sheets   ·   Velostat/Linqstat film</t>
        </is>
      </c>
    </row>
    <row r="1319" outlineLevel="1" ht="15" customHeight="1">
      <c r="A1319" s="45" t="inlineStr">
        <is>
          <t>Category</t>
        </is>
      </c>
      <c r="B1319" s="12" t="inlineStr">
        <is>
          <t>Force &amp; Weight › DIY pressure matrix</t>
        </is>
      </c>
      <c r="E1319" s="45" t="inlineStr">
        <is>
          <t>Measures</t>
        </is>
      </c>
      <c r="F1319" s="12" t="inlineStr">
        <is>
          <t>Pressure maps over large DIY areas</t>
        </is>
      </c>
    </row>
    <row r="1320" outlineLevel="1" ht="15" customHeight="1">
      <c r="A1320" s="45" t="inlineStr">
        <is>
          <t>Modality</t>
        </is>
      </c>
      <c r="B1320" s="12" t="inlineStr">
        <is>
          <t>—</t>
        </is>
      </c>
      <c r="E1320" s="45" t="inlineStr">
        <is>
          <t>Interface</t>
        </is>
      </c>
      <c r="F1320" s="12" t="inlineStr">
        <is>
          <t>Analog</t>
        </is>
      </c>
    </row>
    <row r="1321" outlineLevel="1" ht="15" customHeight="1">
      <c r="A1321" s="45" t="inlineStr">
        <is>
          <t>Supply</t>
        </is>
      </c>
      <c r="B1321" s="12" t="inlineStr">
        <is>
          <t>any</t>
        </is>
      </c>
      <c r="E1321" s="45" t="inlineStr">
        <is>
          <t>Price</t>
        </is>
      </c>
      <c r="F1321" s="12" t="inlineStr">
        <is>
          <t>$5  ($$)</t>
        </is>
      </c>
    </row>
    <row r="1322" outlineLevel="1" ht="15" customHeight="1">
      <c r="A1322" s="45" t="inlineStr">
        <is>
          <t>Difficulty</t>
        </is>
      </c>
      <c r="B1322" s="12" t="inlineStr">
        <is>
          <t>4 — Advanced — analog front-ends, protocol work, mechanical integration, or real safety</t>
        </is>
      </c>
    </row>
    <row r="1323" outlineLevel="1" ht="25" customHeight="1">
      <c r="A1323" s="45" t="inlineStr">
        <is>
          <t>HOW</t>
        </is>
      </c>
      <c r="B1323" s="46" t="inlineStr">
        <is>
          <t>A carbon-loaded film whose resistance falls under pressure; sandwich it between conductive-thread rows and columns to build pressure-imaging mats of any size.</t>
        </is>
      </c>
    </row>
    <row r="1324" outlineLevel="1" ht="19" customHeight="1">
      <c r="A1324" s="45" t="inlineStr">
        <is>
          <t>COMMON</t>
        </is>
      </c>
      <c r="B1324" s="46" t="inlineStr">
        <is>
          <t>Sleep posture mats, smart yoga mats, foot-pressure insoles, interactive dance floors.</t>
        </is>
      </c>
    </row>
    <row r="1325" outlineLevel="1" ht="22" customHeight="1">
      <c r="A1325" s="45" t="inlineStr">
        <is>
          <t>INVENTION</t>
        </is>
      </c>
      <c r="B1325" s="48" t="inlineStr">
        <is>
          <t>A bed-sized posture map for pressure-sore prevention in home care — commercial mats cost thousands; Velostat + ESP32 costs $40.</t>
        </is>
      </c>
    </row>
    <row r="1326" outlineLevel="1" ht="15" customHeight="1">
      <c r="A1326" s="45" t="inlineStr">
        <is>
          <t>PAIRS</t>
        </is>
      </c>
      <c r="B1326" s="46" t="inlineStr">
        <is>
          <t>2x CD74HC4067 mux, TinyML posture classifier</t>
        </is>
      </c>
    </row>
    <row r="1327" outlineLevel="1" ht="15" customHeight="1">
      <c r="A1327" s="45" t="inlineStr">
        <is>
          <t>KEY</t>
        </is>
      </c>
      <c r="B1327" s="46" t="inlineStr">
        <is>
          <t>You define resolution; needs mux scanning</t>
        </is>
      </c>
    </row>
    <row r="1328" outlineLevel="1" ht="16" customHeight="1">
      <c r="A1328" s="45" t="inlineStr">
        <is>
          <t>buy</t>
        </is>
      </c>
      <c r="B1328" s="49" t="inlineStr">
        <is>
          <t>AF · AE   |   boards: Raw film + copper tape / conductive thread   |   lib: Custom row/col scan via CD74HC4067   [High]</t>
        </is>
      </c>
    </row>
    <row r="1330" ht="22" customHeight="1">
      <c r="A1330" s="54" t="inlineStr">
        <is>
          <t>S101</t>
        </is>
      </c>
      <c r="B1330" s="55" t="inlineStr">
        <is>
          <t>Strain gauge + amp   ·   BF350 + HX711/INA125</t>
        </is>
      </c>
    </row>
    <row r="1331" outlineLevel="1" ht="15" customHeight="1">
      <c r="A1331" s="45" t="inlineStr">
        <is>
          <t>Category</t>
        </is>
      </c>
      <c r="B1331" s="12" t="inlineStr">
        <is>
          <t>Force &amp; Weight › Structural strain</t>
        </is>
      </c>
      <c r="E1331" s="45" t="inlineStr">
        <is>
          <t>Measures</t>
        </is>
      </c>
      <c r="F1331" s="12" t="inlineStr">
        <is>
          <t>Micro-deformation of structures (µε)</t>
        </is>
      </c>
    </row>
    <row r="1332" outlineLevel="1" ht="15" customHeight="1">
      <c r="A1332" s="45" t="inlineStr">
        <is>
          <t>Modality</t>
        </is>
      </c>
      <c r="B1332" s="12" t="inlineStr">
        <is>
          <t>—</t>
        </is>
      </c>
      <c r="E1332" s="45" t="inlineStr">
        <is>
          <t>Interface</t>
        </is>
      </c>
      <c r="F1332" s="12" t="inlineStr">
        <is>
          <t>Analog</t>
        </is>
      </c>
    </row>
    <row r="1333" outlineLevel="1" ht="15" customHeight="1">
      <c r="A1333" s="45" t="inlineStr">
        <is>
          <t>Supply</t>
        </is>
      </c>
      <c r="B1333" s="12" t="inlineStr">
        <is>
          <t>bridge excitation</t>
        </is>
      </c>
      <c r="E1333" s="45" t="inlineStr">
        <is>
          <t>Price</t>
        </is>
      </c>
      <c r="F1333" s="12" t="inlineStr">
        <is>
          <t>$4  ($)</t>
        </is>
      </c>
    </row>
    <row r="1334" outlineLevel="1" ht="15" customHeight="1">
      <c r="A1334" s="45" t="inlineStr">
        <is>
          <t>Difficulty</t>
        </is>
      </c>
      <c r="B1334" s="12" t="inlineStr">
        <is>
          <t>4 — Advanced — analog front-ends, protocol work, mechanical integration, or real safety</t>
        </is>
      </c>
    </row>
    <row r="1335" outlineLevel="1" ht="26" customHeight="1">
      <c r="A1335" s="45" t="inlineStr">
        <is>
          <t>HOW</t>
        </is>
      </c>
      <c r="B1335" s="46" t="inlineStr">
        <is>
          <t>A zigzag foil glued to a structure stretches with it, changing resistance by parts-per-million; bridge amplification reveals bending of 'rigid' things like beams and frames.</t>
        </is>
      </c>
    </row>
    <row r="1336" outlineLevel="1" ht="19" customHeight="1">
      <c r="A1336" s="45" t="inlineStr">
        <is>
          <t>COMMON</t>
        </is>
      </c>
      <c r="B1336" s="46" t="inlineStr">
        <is>
          <t>Shelf overload warnings, bike-frame fatigue studies, torque wrenches, climbing-hold force.</t>
        </is>
      </c>
    </row>
    <row r="1337" outlineLevel="1" ht="21" customHeight="1">
      <c r="A1337" s="45" t="inlineStr">
        <is>
          <t>INVENTION</t>
        </is>
      </c>
      <c r="B1337" s="48" t="inlineStr">
        <is>
          <t>Instrument a climbing wall: every hold reports grip force live — training analytics and crowd 'ghost climber' replays.</t>
        </is>
      </c>
    </row>
    <row r="1338" outlineLevel="1" ht="15" customHeight="1">
      <c r="A1338" s="45" t="inlineStr">
        <is>
          <t>PAIRS</t>
        </is>
      </c>
      <c r="B1338" s="46" t="inlineStr">
        <is>
          <t>Many HX711s + ESP-NOW aggregation</t>
        </is>
      </c>
    </row>
    <row r="1339" outlineLevel="1" ht="15" customHeight="1">
      <c r="A1339" s="45" t="inlineStr">
        <is>
          <t>KEY</t>
        </is>
      </c>
      <c r="B1339" s="46" t="inlineStr">
        <is>
          <t>350Ω foil gauges; gluing technique matters most</t>
        </is>
      </c>
    </row>
    <row r="1340" outlineLevel="1" ht="16" customHeight="1">
      <c r="A1340" s="45" t="inlineStr">
        <is>
          <t>buy</t>
        </is>
      </c>
      <c r="B1340" s="49" t="inlineStr">
        <is>
          <t>AE · DK · MO   |   boards: BF350-3AA gauges + HX711   |   lib: HX711 libs   [High]</t>
        </is>
      </c>
    </row>
    <row r="1342" ht="22" customHeight="1">
      <c r="A1342" s="54" t="inlineStr">
        <is>
          <t>S102</t>
        </is>
      </c>
      <c r="B1342" s="55" t="inlineStr">
        <is>
          <t>Nano33-style 1kg beam scale kit   ·   TAL221 100g-1kg micro cells</t>
        </is>
      </c>
    </row>
    <row r="1343" outlineLevel="1" ht="15" customHeight="1">
      <c r="A1343" s="45" t="inlineStr">
        <is>
          <t>Category</t>
        </is>
      </c>
      <c r="B1343" s="12" t="inlineStr">
        <is>
          <t>Force &amp; Weight › Load cell ADC</t>
        </is>
      </c>
      <c r="E1343" s="45" t="inlineStr">
        <is>
          <t>Measures</t>
        </is>
      </c>
      <c r="F1343" s="12" t="inlineStr">
        <is>
          <t>Small forces 100g-1kg with lab-ish precision</t>
        </is>
      </c>
    </row>
    <row r="1344" outlineLevel="1" ht="15" customHeight="1">
      <c r="A1344" s="45" t="inlineStr">
        <is>
          <t>Modality</t>
        </is>
      </c>
      <c r="B1344" s="12" t="inlineStr">
        <is>
          <t>—</t>
        </is>
      </c>
      <c r="E1344" s="45" t="inlineStr">
        <is>
          <t>Interface</t>
        </is>
      </c>
      <c r="F1344" s="12" t="inlineStr">
        <is>
          <t>Analog</t>
        </is>
      </c>
    </row>
    <row r="1345" outlineLevel="1" ht="15" customHeight="1">
      <c r="A1345" s="45" t="inlineStr">
        <is>
          <t>Supply</t>
        </is>
      </c>
      <c r="B1345" s="12" t="inlineStr">
        <is>
          <t>3.3-5V</t>
        </is>
      </c>
      <c r="E1345" s="45" t="inlineStr">
        <is>
          <t>Price</t>
        </is>
      </c>
      <c r="F1345" s="12" t="inlineStr">
        <is>
          <t>$8  ($$)</t>
        </is>
      </c>
    </row>
    <row r="1346" outlineLevel="1" ht="15" customHeight="1">
      <c r="A1346" s="45" t="inlineStr">
        <is>
          <t>Difficulty</t>
        </is>
      </c>
      <c r="B1346" s="12" t="inlineStr">
        <is>
          <t>2 — Easy — breadboard wiring, a well-documented library, no analog thought needed</t>
        </is>
      </c>
    </row>
    <row r="1347" outlineLevel="1" ht="22" customHeight="1">
      <c r="A1347" s="45" t="inlineStr">
        <is>
          <t>HOW</t>
        </is>
      </c>
      <c r="B1347" s="46" t="inlineStr">
        <is>
          <t>Miniature machined-beam load cells for gram-scale projects — the precision end of the HX711 family for dosing and science.</t>
        </is>
      </c>
    </row>
    <row r="1348" outlineLevel="1" ht="19" customHeight="1">
      <c r="A1348" s="45" t="inlineStr">
        <is>
          <t>COMMON</t>
        </is>
      </c>
      <c r="B1348" s="46" t="inlineStr">
        <is>
          <t>Espresso scales (0.1g), chemistry dosing, insect/small-animal research, drip-rate measurement.</t>
        </is>
      </c>
    </row>
    <row r="1349" outlineLevel="1" ht="20" customHeight="1">
      <c r="A1349" s="45" t="inlineStr">
        <is>
          <t>INVENTION</t>
        </is>
      </c>
      <c r="B1349" s="48" t="inlineStr">
        <is>
          <t>A barista robot's tongue: 0.1g pour tracking + flow-rate curve = repeatable pour-over, logged shot by shot.</t>
        </is>
      </c>
    </row>
    <row r="1350" outlineLevel="1" ht="15" customHeight="1">
      <c r="A1350" s="45" t="inlineStr">
        <is>
          <t>PAIRS</t>
        </is>
      </c>
      <c r="B1350" s="46" t="inlineStr">
        <is>
          <t>NAU7802 (I2C scale ADC), pump control PWM</t>
        </is>
      </c>
    </row>
    <row r="1351" outlineLevel="1" ht="15" customHeight="1">
      <c r="A1351" s="45" t="inlineStr">
        <is>
          <t>KEY</t>
        </is>
      </c>
      <c r="B1351" s="46" t="inlineStr">
        <is>
          <t>0.05% class, M3 mounting</t>
        </is>
      </c>
    </row>
    <row r="1352" outlineLevel="1" ht="16" customHeight="1">
      <c r="A1352" s="45" t="inlineStr">
        <is>
          <t>buy</t>
        </is>
      </c>
      <c r="B1352" s="49" t="inlineStr">
        <is>
          <t>SF · DK · AE   |   boards: SparkFun TAL221 + Qwiic Scale NAU7802   |   lib: SparkFun NAU7802 (I2C, nicer than HX711)   [High]</t>
        </is>
      </c>
    </row>
    <row r="1354" ht="22" customHeight="1">
      <c r="A1354" s="54" t="inlineStr">
        <is>
          <t>S103</t>
        </is>
      </c>
      <c r="B1354" s="55" t="inlineStr">
        <is>
          <t>Capacitive liquid/force FDC1004   ·   FDC1004</t>
        </is>
      </c>
    </row>
    <row r="1355" outlineLevel="1" ht="15" customHeight="1">
      <c r="A1355" s="45" t="inlineStr">
        <is>
          <t>Category</t>
        </is>
      </c>
      <c r="B1355" s="12" t="inlineStr">
        <is>
          <t>Force &amp; Weight › Capacitance measurement</t>
        </is>
      </c>
      <c r="E1355" s="45" t="inlineStr">
        <is>
          <t>Measures</t>
        </is>
      </c>
      <c r="F1355" s="12" t="inlineStr">
        <is>
          <t>Capacitance changes — liquid level through walls, proximity, touch-force</t>
        </is>
      </c>
    </row>
    <row r="1356" outlineLevel="1" ht="15" customHeight="1">
      <c r="A1356" s="45" t="inlineStr">
        <is>
          <t>Modality</t>
        </is>
      </c>
      <c r="B1356" s="12" t="inlineStr">
        <is>
          <t>—</t>
        </is>
      </c>
      <c r="E1356" s="45" t="inlineStr">
        <is>
          <t>Interface</t>
        </is>
      </c>
      <c r="F1356" s="12" t="inlineStr">
        <is>
          <t>I2C</t>
        </is>
      </c>
    </row>
    <row r="1357" outlineLevel="1" ht="15" customHeight="1">
      <c r="A1357" s="45" t="inlineStr">
        <is>
          <t>Supply</t>
        </is>
      </c>
      <c r="B1357" s="12" t="inlineStr">
        <is>
          <t>3.3V</t>
        </is>
      </c>
      <c r="E1357" s="45" t="inlineStr">
        <is>
          <t>Price</t>
        </is>
      </c>
      <c r="F1357" s="12" t="inlineStr">
        <is>
          <t>$9  ($$)</t>
        </is>
      </c>
    </row>
    <row r="1358" outlineLevel="1" ht="15" customHeight="1">
      <c r="A1358" s="45" t="inlineStr">
        <is>
          <t>Difficulty</t>
        </is>
      </c>
      <c r="B1358" s="12" t="inlineStr">
        <is>
          <t>3 — Some skill — calibration, level shifting, timing, or datasheet reading required</t>
        </is>
      </c>
    </row>
    <row r="1359" outlineLevel="1" ht="25" customHeight="1">
      <c r="A1359" s="45" t="inlineStr">
        <is>
          <t>HOW</t>
        </is>
      </c>
      <c r="B1359" s="46" t="inlineStr">
        <is>
          <t>Measures femtofarad capacitance changes on 4 channels — copper tape on a tank wall becomes a non-contact liquid level gauge; foam + plates become force pads.</t>
        </is>
      </c>
    </row>
    <row r="1360" outlineLevel="1" ht="18" customHeight="1">
      <c r="A1360" s="45" t="inlineStr">
        <is>
          <t>COMMON</t>
        </is>
      </c>
      <c r="B1360" s="46" t="inlineStr">
        <is>
          <t>Non-contact tank levels, stud/wire finding, proximity pads, material moisture.</t>
        </is>
      </c>
    </row>
    <row r="1361" outlineLevel="1" ht="24" customHeight="1">
      <c r="A1361" s="45" t="inlineStr">
        <is>
          <t>INVENTION</t>
        </is>
      </c>
      <c r="B1361" s="48" t="inlineStr">
        <is>
          <t>Liquid level WITHOUT touching the liquid: tape strips outside any plastic tank — soap, milk, fuel, chemicals — no contamination, no corrosion ever.</t>
        </is>
      </c>
    </row>
    <row r="1362" outlineLevel="1" ht="15" customHeight="1">
      <c r="A1362" s="45" t="inlineStr">
        <is>
          <t>PAIRS</t>
        </is>
      </c>
      <c r="B1362" s="46" t="inlineStr">
        <is>
          <t>ePaper level gauge, pump automation</t>
        </is>
      </c>
    </row>
    <row r="1363" outlineLevel="1" ht="15" customHeight="1">
      <c r="A1363" s="45" t="inlineStr">
        <is>
          <t>KEY</t>
        </is>
      </c>
      <c r="B1363" s="46" t="inlineStr">
        <is>
          <t>±15pF range, 0.5fF resolution, shield drive</t>
        </is>
      </c>
    </row>
    <row r="1364" outlineLevel="1" ht="16" customHeight="1">
      <c r="A1364" s="45" t="inlineStr">
        <is>
          <t>buy</t>
        </is>
      </c>
      <c r="B1364" s="49" t="inlineStr">
        <is>
          <t>DK · MO · AE   |   boards: FDC1004 breakout (Protocentral)   |   lib: Protocentral FDC1004   [High]</t>
        </is>
      </c>
    </row>
    <row r="1366" ht="22" customHeight="1">
      <c r="A1366" s="68" t="inlineStr">
        <is>
          <t>S104</t>
        </is>
      </c>
      <c r="B1366" s="69" t="inlineStr">
        <is>
          <t>MPR121 12-pad cap touch   ·   MPR121</t>
        </is>
      </c>
    </row>
    <row r="1367" outlineLevel="1" ht="15" customHeight="1">
      <c r="A1367" s="45" t="inlineStr">
        <is>
          <t>Category</t>
        </is>
      </c>
      <c r="B1367" s="12" t="inlineStr">
        <is>
          <t>Touch &amp; Capacitive › Multi-pad controller</t>
        </is>
      </c>
      <c r="E1367" s="45" t="inlineStr">
        <is>
          <t>Measures</t>
        </is>
      </c>
      <c r="F1367" s="12" t="inlineStr">
        <is>
          <t>Touch on 12 electrodes (anything conductive)</t>
        </is>
      </c>
    </row>
    <row r="1368" outlineLevel="1" ht="15" customHeight="1">
      <c r="A1368" s="45" t="inlineStr">
        <is>
          <t>Modality</t>
        </is>
      </c>
      <c r="B1368" s="12" t="inlineStr">
        <is>
          <t>Electrical</t>
        </is>
      </c>
      <c r="E1368" s="45" t="inlineStr">
        <is>
          <t>Interface</t>
        </is>
      </c>
      <c r="F1368" s="12" t="inlineStr">
        <is>
          <t>I2C</t>
        </is>
      </c>
    </row>
    <row r="1369" outlineLevel="1" ht="15" customHeight="1">
      <c r="A1369" s="45" t="inlineStr">
        <is>
          <t>Supply</t>
        </is>
      </c>
      <c r="B1369" s="12" t="inlineStr">
        <is>
          <t>2.5-3.6V</t>
        </is>
      </c>
      <c r="E1369" s="45" t="inlineStr">
        <is>
          <t>Price</t>
        </is>
      </c>
      <c r="F1369" s="12" t="inlineStr">
        <is>
          <t>$6  ($$)</t>
        </is>
      </c>
    </row>
    <row r="1370" outlineLevel="1" ht="15" customHeight="1">
      <c r="A1370" s="45" t="inlineStr">
        <is>
          <t>Difficulty</t>
        </is>
      </c>
      <c r="B1370" s="12" t="inlineStr">
        <is>
          <t>1 — Plug and play — Qwiic/STEMMA cable or 3 wires, library example works first time</t>
        </is>
      </c>
    </row>
    <row r="1371" outlineLevel="1" ht="25" customHeight="1">
      <c r="A1371" s="45" t="inlineStr">
        <is>
          <t>HOW</t>
        </is>
      </c>
      <c r="B1371" s="46" t="inlineStr">
        <is>
          <t>Charges each electrode and times the charge cycle; a finger adds capacitance and slows it. Any conductive thing — foil, fruit, wire, water — becomes a button.</t>
        </is>
      </c>
    </row>
    <row r="1372" outlineLevel="1" ht="49" customHeight="1">
      <c r="A1372" s="45" t="inlineStr">
        <is>
          <t>WHAT</t>
        </is>
      </c>
      <c r="B1372" s="47" t="inlineStr">
        <is>
          <t>Water is the enemy: a film of condensation or a wet hand reads as a permanent touch across several pads at once. It auto-baselines, which is usually helpful but means a slowly-applied touch can be absorbed into the baseline and never register. Electrode wire length and routing change sensitivity, so pads behave differently depending on cable dress. A floating (battery, ungrounded) system has a weaker ground reference and noticeably worse sensitivity.</t>
        </is>
      </c>
    </row>
    <row r="1373" outlineLevel="1" ht="19" customHeight="1">
      <c r="A1373" s="45" t="inlineStr">
        <is>
          <t>COMMON</t>
        </is>
      </c>
      <c r="B1373" s="46" t="inlineStr">
        <is>
          <t>Banana pianos, hidden furniture controls, wearable e-textile buttons, museum exhibits.</t>
        </is>
      </c>
    </row>
    <row r="1374" outlineLevel="1" ht="22" customHeight="1">
      <c r="A1374" s="45" t="inlineStr">
        <is>
          <t>INVENTION</t>
        </is>
      </c>
      <c r="B1374" s="48" t="inlineStr">
        <is>
          <t>Conductive-paint wall murals where painted shapes ARE the light switches — interior design and circuitry become the same craft.</t>
        </is>
      </c>
    </row>
    <row r="1375" outlineLevel="1" ht="20" customHeight="1">
      <c r="A1375" s="45" t="inlineStr">
        <is>
          <t>SUBSTITUT</t>
        </is>
      </c>
      <c r="B1375" s="46" t="inlineStr">
        <is>
          <t>Single pad, no I2C: TTP223. Free and built in: ESP32 touch pins. Position rather than presence: Trill.</t>
        </is>
      </c>
    </row>
    <row r="1376" outlineLevel="1" ht="15" customHeight="1">
      <c r="A1376" s="45" t="inlineStr">
        <is>
          <t>PAIRS</t>
        </is>
      </c>
      <c r="B1376" s="46" t="inlineStr">
        <is>
          <t>Conductive paint/copper tape, MIDI over BLE</t>
        </is>
      </c>
    </row>
    <row r="1377" outlineLevel="1" ht="15" customHeight="1">
      <c r="A1377" s="45" t="inlineStr">
        <is>
          <t>KEY</t>
        </is>
      </c>
      <c r="B1377" s="46" t="inlineStr">
        <is>
          <t>12 channels, auto-baseline, IRQ pin</t>
        </is>
      </c>
    </row>
    <row r="1378" outlineLevel="1" ht="33" customHeight="1">
      <c r="A1378" s="45" t="inlineStr">
        <is>
          <t>specs</t>
        </is>
      </c>
      <c r="B1378" s="49" t="inlineStr">
        <is>
          <t>Range: 12 electrodes, through up to ~5 mm of non-conductive material   I2C addr: 0x5A-0x5D   Calibration: One-point   Environment: Indoor   Lifecycle: Active   Maturity: Excellent   ESP32: Any variant. Note: C3/C6/H2 have NO built-in touch peripheral, so on those chips an MPR121 is the only capacitive-touch option</t>
        </is>
      </c>
    </row>
    <row r="1379" outlineLevel="1" ht="16" customHeight="1">
      <c r="A1379" s="45" t="inlineStr">
        <is>
          <t>buy</t>
        </is>
      </c>
      <c r="B1379" s="49" t="inlineStr">
        <is>
          <t>AF · SF · AE · DK   |   boards: Adafruit 1982   |   lib: Adafruit_MPR121   [High, 2026-07]</t>
        </is>
      </c>
    </row>
    <row r="1380" outlineLevel="1" ht="36" customHeight="1">
      <c r="A1380" s="50" t="inlineStr">
        <is>
          <t>unlocks</t>
        </is>
      </c>
      <c r="B1380" s="51" t="inlineStr">
        <is>
          <t>Is the thing there?  •  Is anyone here?  •  How much is in the tank?  •  Has someone interfered with it?</t>
        </is>
      </c>
    </row>
    <row r="1382" ht="22" customHeight="1">
      <c r="A1382" s="54" t="inlineStr">
        <is>
          <t>S105</t>
        </is>
      </c>
      <c r="B1382" s="55" t="inlineStr">
        <is>
          <t>TTP223 single touch   ·   TTP223</t>
        </is>
      </c>
    </row>
    <row r="1383" outlineLevel="1" ht="15" customHeight="1">
      <c r="A1383" s="45" t="inlineStr">
        <is>
          <t>Category</t>
        </is>
      </c>
      <c r="B1383" s="12" t="inlineStr">
        <is>
          <t>Touch &amp; Capacitive › Single pad</t>
        </is>
      </c>
      <c r="E1383" s="45" t="inlineStr">
        <is>
          <t>Measures</t>
        </is>
      </c>
      <c r="F1383" s="12" t="inlineStr">
        <is>
          <t>One capacitive touch point</t>
        </is>
      </c>
    </row>
    <row r="1384" outlineLevel="1" ht="15" customHeight="1">
      <c r="A1384" s="45" t="inlineStr">
        <is>
          <t>Modality</t>
        </is>
      </c>
      <c r="B1384" s="12" t="inlineStr">
        <is>
          <t>—</t>
        </is>
      </c>
      <c r="E1384" s="45" t="inlineStr">
        <is>
          <t>Interface</t>
        </is>
      </c>
      <c r="F1384" s="12" t="inlineStr">
        <is>
          <t>Digital</t>
        </is>
      </c>
    </row>
    <row r="1385" outlineLevel="1" ht="15" customHeight="1">
      <c r="A1385" s="45" t="inlineStr">
        <is>
          <t>Supply</t>
        </is>
      </c>
      <c r="B1385" s="12" t="inlineStr">
        <is>
          <t>2.0-5.5V</t>
        </is>
      </c>
      <c r="E1385" s="45" t="inlineStr">
        <is>
          <t>Price</t>
        </is>
      </c>
      <c r="F1385" s="12" t="inlineStr">
        <is>
          <t>$0.5  ($)</t>
        </is>
      </c>
    </row>
    <row r="1386" outlineLevel="1" ht="15" customHeight="1">
      <c r="A1386" s="45" t="inlineStr">
        <is>
          <t>Difficulty</t>
        </is>
      </c>
      <c r="B1386" s="12" t="inlineStr">
        <is>
          <t>1 — Plug and play — Qwiic/STEMMA cable or 3 wires, library example works first time</t>
        </is>
      </c>
    </row>
    <row r="1387" outlineLevel="1" ht="22" customHeight="1">
      <c r="A1387" s="45" t="inlineStr">
        <is>
          <t>HOW</t>
        </is>
      </c>
      <c r="B1387" s="46" t="inlineStr">
        <is>
          <t>A self-contained cap-touch IC: one pad, one digital output, configurable momentary/toggle — the simplest possible touch control.</t>
        </is>
      </c>
    </row>
    <row r="1388" outlineLevel="1" ht="19" customHeight="1">
      <c r="A1388" s="45" t="inlineStr">
        <is>
          <t>COMMON</t>
        </is>
      </c>
      <c r="B1388" s="46" t="inlineStr">
        <is>
          <t>Hidden power buttons through enclosures, lamp dimmer steps, sealed waterproof controls.</t>
        </is>
      </c>
    </row>
    <row r="1389" outlineLevel="1" ht="22" customHeight="1">
      <c r="A1389" s="45" t="inlineStr">
        <is>
          <t>INVENTION</t>
        </is>
      </c>
      <c r="B1389" s="48" t="inlineStr">
        <is>
          <t>Buttons through solid surfaces: glue behind a wooden desk top — touch the wood grain to control your lights, hardware invisible.</t>
        </is>
      </c>
    </row>
    <row r="1390" outlineLevel="1" ht="15" customHeight="1">
      <c r="A1390" s="45" t="inlineStr">
        <is>
          <t>PAIRS</t>
        </is>
      </c>
      <c r="B1390" s="46" t="inlineStr">
        <is>
          <t>Any project needing a sealed 'button'</t>
        </is>
      </c>
    </row>
    <row r="1391" outlineLevel="1" ht="15" customHeight="1">
      <c r="A1391" s="45" t="inlineStr">
        <is>
          <t>KEY</t>
        </is>
      </c>
      <c r="B1391" s="46" t="inlineStr">
        <is>
          <t>Works through 0-3mm plastic</t>
        </is>
      </c>
    </row>
    <row r="1392" outlineLevel="1" ht="16" customHeight="1">
      <c r="A1392" s="45" t="inlineStr">
        <is>
          <t>buy</t>
        </is>
      </c>
      <c r="B1392" s="49" t="inlineStr">
        <is>
          <t>AE · AMZ · DFR   |   boards: TTP223 mini module   |   lib: digitalRead   [High]</t>
        </is>
      </c>
    </row>
    <row r="1394" ht="22" customHeight="1">
      <c r="A1394" s="68" t="inlineStr">
        <is>
          <t>S106</t>
        </is>
      </c>
      <c r="B1394" s="69" t="inlineStr">
        <is>
          <t>ESP32 native touch pins   ·   ESP32 touch peripheral (T0-T9)</t>
        </is>
      </c>
    </row>
    <row r="1395" outlineLevel="1" ht="15" customHeight="1">
      <c r="A1395" s="45" t="inlineStr">
        <is>
          <t>Category</t>
        </is>
      </c>
      <c r="B1395" s="12" t="inlineStr">
        <is>
          <t>Touch &amp; Capacitive › Built-in (free!)</t>
        </is>
      </c>
      <c r="E1395" s="45" t="inlineStr">
        <is>
          <t>Measures</t>
        </is>
      </c>
      <c r="F1395" s="12" t="inlineStr">
        <is>
          <t>Up to 10 capacitive touch channels with NO extra hardware</t>
        </is>
      </c>
    </row>
    <row r="1396" outlineLevel="1" ht="15" customHeight="1">
      <c r="A1396" s="45" t="inlineStr">
        <is>
          <t>Modality</t>
        </is>
      </c>
      <c r="B1396" s="12" t="inlineStr">
        <is>
          <t>Electrical</t>
        </is>
      </c>
      <c r="E1396" s="45" t="inlineStr">
        <is>
          <t>Interface</t>
        </is>
      </c>
      <c r="F1396" s="12" t="inlineStr">
        <is>
          <t>Builtin</t>
        </is>
      </c>
    </row>
    <row r="1397" outlineLevel="1" ht="15" customHeight="1">
      <c r="A1397" s="45" t="inlineStr">
        <is>
          <t>Supply</t>
        </is>
      </c>
      <c r="B1397" s="12" t="inlineStr">
        <is>
          <t>—</t>
        </is>
      </c>
      <c r="E1397" s="45" t="inlineStr">
        <is>
          <t>Price</t>
        </is>
      </c>
      <c r="F1397" s="12" t="inlineStr">
        <is>
          <t>$0  (free)</t>
        </is>
      </c>
    </row>
    <row r="1398" outlineLevel="1" ht="15" customHeight="1">
      <c r="A1398" s="45" t="inlineStr">
        <is>
          <t>Difficulty</t>
        </is>
      </c>
      <c r="B1398" s="12" t="inlineStr">
        <is>
          <t>1 — Plug and play — Qwiic/STEMMA cable or 3 wires, library example works first time</t>
        </is>
      </c>
    </row>
    <row r="1399" outlineLevel="1" ht="23" customHeight="1">
      <c r="A1399" s="45" t="inlineStr">
        <is>
          <t>HOW</t>
        </is>
      </c>
      <c r="B1399" s="46" t="inlineStr">
        <is>
          <t>The ESP32 itself measures pin capacitance — wire, foil or PCB pad straight to a touch pin. Can even wake the chip from deep sleep on touch.</t>
        </is>
      </c>
    </row>
    <row r="1400" outlineLevel="1" ht="45" customHeight="1">
      <c r="A1400" s="45" t="inlineStr">
        <is>
          <t>WHAT</t>
        </is>
      </c>
      <c r="B1400" s="47" t="inlineStr">
        <is>
          <t>Readings drift with temperature and humidity, so a fixed threshold that works in a cold workshop misfires in a warm room — track a rolling baseline instead. Wi-Fi activity injects noise into the measurement. Water films cause false touches. And the critical gotcha: the touch peripheral DOES NOT EXIST on the C3, C6 or H2, so any project relying on it is silently locked to the classic, S2 or S3.</t>
        </is>
      </c>
    </row>
    <row r="1401" outlineLevel="1" ht="21" customHeight="1">
      <c r="A1401" s="45" t="inlineStr">
        <is>
          <t>COMMON</t>
        </is>
      </c>
      <c r="B1401" s="46" t="inlineStr">
        <is>
          <t>Free buttons on any project, fruit pianos, water-level sensing (capacitance up a tube), wake-on-touch gadgets.</t>
        </is>
      </c>
    </row>
    <row r="1402" outlineLevel="1" ht="23" customHeight="1">
      <c r="A1402" s="45" t="inlineStr">
        <is>
          <t>INVENTION</t>
        </is>
      </c>
      <c r="B1402" s="48" t="inlineStr">
        <is>
          <t>The zero-BOM interface: a bare screw head on your enclosure becomes a wake/touch button. Ten of them. For free. Most people never use this.</t>
        </is>
      </c>
    </row>
    <row r="1403" outlineLevel="1" ht="15" customHeight="1">
      <c r="A1403" s="45" t="inlineStr">
        <is>
          <t>SUBSTITUT</t>
        </is>
      </c>
      <c r="B1403" s="46" t="inlineStr">
        <is>
          <t>Chip-independent: MPR121 or TTP223.</t>
        </is>
      </c>
    </row>
    <row r="1404" outlineLevel="1" ht="17" customHeight="1">
      <c r="A1404" s="45" t="inlineStr">
        <is>
          <t>PAIRS</t>
        </is>
      </c>
      <c r="B1404" s="46" t="inlineStr">
        <is>
          <t>Deep sleep touch-wake, foil sliders (multi-pad interpolation)</t>
        </is>
      </c>
    </row>
    <row r="1405" outlineLevel="1" ht="17" customHeight="1">
      <c r="A1405" s="45" t="inlineStr">
        <is>
          <t>KEY</t>
        </is>
      </c>
      <c r="B1405" s="46" t="inlineStr">
        <is>
          <t>10 channels (classic), wake-from-sleep, water-tolerant tuning</t>
        </is>
      </c>
    </row>
    <row r="1406" outlineLevel="1" ht="26" customHeight="1">
      <c r="A1406" s="45" t="inlineStr">
        <is>
          <t>specs</t>
        </is>
      </c>
      <c r="B1406" s="49" t="inlineStr">
        <is>
          <t>Range: Up to 10 channels on supported variants   Calibration: One-point   Environment: Indoor   Lifecycle: Active   Maturity: Good   ESP32: Classic/S2/S3 only. Touch-wake from deep sleep works and costs microamps</t>
        </is>
      </c>
    </row>
    <row r="1407" outlineLevel="1" ht="16" customHeight="1">
      <c r="A1407" s="45" t="inlineStr">
        <is>
          <t>buy</t>
        </is>
      </c>
      <c r="B1407" s="49" t="inlineStr">
        <is>
          <t>INC   |   boards: Any ESP32 board   |   lib: touchRead(), touchAttachInterrupt()   [High, 2026-07]</t>
        </is>
      </c>
    </row>
    <row r="1408" outlineLevel="1" ht="30" customHeight="1">
      <c r="A1408" s="50" t="inlineStr">
        <is>
          <t>unlocks</t>
        </is>
      </c>
      <c r="B1408" s="51" t="inlineStr">
        <is>
          <t>Is the thing there?  •  Is anyone here?  •  How much is in the tank?</t>
        </is>
      </c>
    </row>
    <row r="1410" ht="22" customHeight="1">
      <c r="A1410" s="54" t="inlineStr">
        <is>
          <t>S107</t>
        </is>
      </c>
      <c r="B1410" s="55" t="inlineStr">
        <is>
          <t>Trill flexible touch sliders   ·   Trill Bar/Square/Craft</t>
        </is>
      </c>
    </row>
    <row r="1411" outlineLevel="1" ht="15" customHeight="1">
      <c r="A1411" s="45" t="inlineStr">
        <is>
          <t>Category</t>
        </is>
      </c>
      <c r="B1411" s="12" t="inlineStr">
        <is>
          <t>Touch &amp; Capacitive › Position-sensing touch</t>
        </is>
      </c>
      <c r="E1411" s="45" t="inlineStr">
        <is>
          <t>Measures</t>
        </is>
      </c>
      <c r="F1411" s="12" t="inlineStr">
        <is>
          <t>Finger POSITION (not just presence) on slider/2D surfaces</t>
        </is>
      </c>
    </row>
    <row r="1412" outlineLevel="1" ht="15" customHeight="1">
      <c r="A1412" s="45" t="inlineStr">
        <is>
          <t>Modality</t>
        </is>
      </c>
      <c r="B1412" s="12" t="inlineStr">
        <is>
          <t>—</t>
        </is>
      </c>
      <c r="E1412" s="45" t="inlineStr">
        <is>
          <t>Interface</t>
        </is>
      </c>
      <c r="F1412" s="12" t="inlineStr">
        <is>
          <t>I2C</t>
        </is>
      </c>
    </row>
    <row r="1413" outlineLevel="1" ht="15" customHeight="1">
      <c r="A1413" s="45" t="inlineStr">
        <is>
          <t>Supply</t>
        </is>
      </c>
      <c r="B1413" s="12" t="inlineStr">
        <is>
          <t>3.3-5V</t>
        </is>
      </c>
      <c r="E1413" s="45" t="inlineStr">
        <is>
          <t>Price</t>
        </is>
      </c>
      <c r="F1413" s="12" t="inlineStr">
        <is>
          <t>$20  ($$$)</t>
        </is>
      </c>
    </row>
    <row r="1414" outlineLevel="1" ht="15" customHeight="1">
      <c r="A1414" s="45" t="inlineStr">
        <is>
          <t>Difficulty</t>
        </is>
      </c>
      <c r="B1414" s="12" t="inlineStr">
        <is>
          <t>2 — Easy — breadboard wiring, a well-documented library, no analog thought needed</t>
        </is>
      </c>
    </row>
    <row r="1415" outlineLevel="1" ht="24" customHeight="1">
      <c r="A1415" s="45" t="inlineStr">
        <is>
          <t>HOW</t>
        </is>
      </c>
      <c r="B1415" s="46" t="inlineStr">
        <is>
          <t>Many interleaved capacitive pads with centroid interpolation give continuous position and multi-touch — musical-instrument-grade touch from Bela.</t>
        </is>
      </c>
    </row>
    <row r="1416" outlineLevel="1" ht="20" customHeight="1">
      <c r="A1416" s="45" t="inlineStr">
        <is>
          <t>COMMON</t>
        </is>
      </c>
      <c r="B1416" s="46" t="inlineStr">
        <is>
          <t>Expressive MIDI controllers, ribbon controllers, precise touch UI, custom e-textile instruments.</t>
        </is>
      </c>
    </row>
    <row r="1417" outlineLevel="1" ht="21" customHeight="1">
      <c r="A1417" s="45" t="inlineStr">
        <is>
          <t>INVENTION</t>
        </is>
      </c>
      <c r="B1417" s="48" t="inlineStr">
        <is>
          <t>A fretless 'light theremin ribbon' instrument: position = pitch, pressure-ish size = volume, BLE-MIDI to any synth app.</t>
        </is>
      </c>
    </row>
    <row r="1418" outlineLevel="1" ht="15" customHeight="1">
      <c r="A1418" s="45" t="inlineStr">
        <is>
          <t>PAIRS</t>
        </is>
      </c>
      <c r="B1418" s="46" t="inlineStr">
        <is>
          <t>BLE-MIDI, DAC audio synthesis on ESP32</t>
        </is>
      </c>
    </row>
    <row r="1419" outlineLevel="1" ht="16" customHeight="1">
      <c r="A1419" s="45" t="inlineStr">
        <is>
          <t>KEY</t>
        </is>
      </c>
      <c r="B1419" s="46" t="inlineStr">
        <is>
          <t>Bar: 5 touches with position+size; Craft: 30 raw channels</t>
        </is>
      </c>
    </row>
    <row r="1420" outlineLevel="1" ht="16" customHeight="1">
      <c r="A1420" s="45" t="inlineStr">
        <is>
          <t>buy</t>
        </is>
      </c>
      <c r="B1420" s="49" t="inlineStr">
        <is>
          <t>BL · DK · PI   |   boards: Bela Trill series   |   lib: Trill Arduino lib   [High]</t>
        </is>
      </c>
    </row>
    <row r="1422" ht="22" customHeight="1">
      <c r="A1422" s="54" t="inlineStr">
        <is>
          <t>S108</t>
        </is>
      </c>
      <c r="B1422" s="55" t="inlineStr">
        <is>
          <t>Water level capacitive strip   ·   XKC-Y25-V / grove water</t>
        </is>
      </c>
    </row>
    <row r="1423" outlineLevel="1" ht="15" customHeight="1">
      <c r="A1423" s="45" t="inlineStr">
        <is>
          <t>Category</t>
        </is>
      </c>
      <c r="B1423" s="12" t="inlineStr">
        <is>
          <t>Touch &amp; Capacitive › Non-contact liquid</t>
        </is>
      </c>
      <c r="E1423" s="45" t="inlineStr">
        <is>
          <t>Measures</t>
        </is>
      </c>
      <c r="F1423" s="12" t="inlineStr">
        <is>
          <t>Liquid present at a point — through container walls</t>
        </is>
      </c>
    </row>
    <row r="1424" outlineLevel="1" ht="15" customHeight="1">
      <c r="A1424" s="45" t="inlineStr">
        <is>
          <t>Modality</t>
        </is>
      </c>
      <c r="B1424" s="12" t="inlineStr">
        <is>
          <t>—</t>
        </is>
      </c>
      <c r="E1424" s="45" t="inlineStr">
        <is>
          <t>Interface</t>
        </is>
      </c>
      <c r="F1424" s="12" t="inlineStr">
        <is>
          <t>Digital</t>
        </is>
      </c>
    </row>
    <row r="1425" outlineLevel="1" ht="15" customHeight="1">
      <c r="A1425" s="45" t="inlineStr">
        <is>
          <t>Supply</t>
        </is>
      </c>
      <c r="B1425" s="12" t="inlineStr">
        <is>
          <t>5-24V</t>
        </is>
      </c>
      <c r="E1425" s="45" t="inlineStr">
        <is>
          <t>Price</t>
        </is>
      </c>
      <c r="F1425" s="12" t="inlineStr">
        <is>
          <t>$7  ($$)</t>
        </is>
      </c>
    </row>
    <row r="1426" outlineLevel="1" ht="15" customHeight="1">
      <c r="A1426" s="45" t="inlineStr">
        <is>
          <t>Difficulty</t>
        </is>
      </c>
      <c r="B1426" s="12" t="inlineStr">
        <is>
          <t>1 — Plug and play — Qwiic/STEMMA cable or 3 wires, library example works first time</t>
        </is>
      </c>
    </row>
    <row r="1427" outlineLevel="1" ht="24" customHeight="1">
      <c r="A1427" s="45" t="inlineStr">
        <is>
          <t>HOW</t>
        </is>
      </c>
      <c r="B1427" s="46" t="inlineStr">
        <is>
          <t>Capacitive sensing tuned for liquid dielectric through up to ~13mm of plastic/glass — strap to the outside of any tank/pipe for a no-contact level switch.</t>
        </is>
      </c>
    </row>
    <row r="1428" outlineLevel="1" ht="19" customHeight="1">
      <c r="A1428" s="45" t="inlineStr">
        <is>
          <t>COMMON</t>
        </is>
      </c>
      <c r="B1428" s="46" t="inlineStr">
        <is>
          <t>Pump dry-run protection, coffee-machine reservoir alerts, aquarium top-off, chemical tanks.</t>
        </is>
      </c>
    </row>
    <row r="1429" outlineLevel="1" ht="23" customHeight="1">
      <c r="A1429" s="45" t="inlineStr">
        <is>
          <t>INVENTION</t>
        </is>
      </c>
      <c r="B1429" s="48" t="inlineStr">
        <is>
          <t>Auto top-off for everything with a reservoir: humidifier, coffee maker, hydroponics — the sensor never touches (or contaminates) the liquid.</t>
        </is>
      </c>
    </row>
    <row r="1430" outlineLevel="1" ht="16" customHeight="1">
      <c r="A1430" s="45" t="inlineStr">
        <is>
          <t>PAIRS</t>
        </is>
      </c>
      <c r="B1430" s="46" t="inlineStr">
        <is>
          <t>Peristaltic pump + relay, leak sensor as failsafe</t>
        </is>
      </c>
    </row>
    <row r="1431" outlineLevel="1" ht="26" customHeight="1">
      <c r="A1431" s="45" t="inlineStr">
        <is>
          <t>KEY</t>
        </is>
      </c>
      <c r="B1431" s="46" t="inlineStr">
        <is>
          <t>Through-wall, no fluid contact, IP67. ⚠ OUTPUT SWINGS TO VCC — at 12/24V it will destroy an ESP32 GPIO. Run the sensor at 5V and level-shift, or use a divider/optocoupler.</t>
        </is>
      </c>
    </row>
    <row r="1432" outlineLevel="1" ht="16" customHeight="1">
      <c r="A1432" s="45" t="inlineStr">
        <is>
          <t>buy</t>
        </is>
      </c>
      <c r="B1432" s="49" t="inlineStr">
        <is>
          <t>AE · DFR · AMZ   |   boards: XKC-Y25-V sealed puck   |   lib: digitalRead   [High]</t>
        </is>
      </c>
    </row>
    <row r="1434" ht="22" customHeight="1">
      <c r="A1434" s="54" t="inlineStr">
        <is>
          <t>S109</t>
        </is>
      </c>
      <c r="B1434" s="55" t="inlineStr">
        <is>
          <t>Flex sensor 2.2"   ·   SEN-10264 / SpectraSymbol</t>
        </is>
      </c>
    </row>
    <row r="1435" outlineLevel="1" ht="15" customHeight="1">
      <c r="A1435" s="45" t="inlineStr">
        <is>
          <t>Category</t>
        </is>
      </c>
      <c r="B1435" s="12" t="inlineStr">
        <is>
          <t>Flex &amp; Stretch › Bend resistor</t>
        </is>
      </c>
      <c r="E1435" s="45" t="inlineStr">
        <is>
          <t>Measures</t>
        </is>
      </c>
      <c r="F1435" s="12" t="inlineStr">
        <is>
          <t>Bend angle 0-90°+ as resistance change</t>
        </is>
      </c>
    </row>
    <row r="1436" outlineLevel="1" ht="15" customHeight="1">
      <c r="A1436" s="45" t="inlineStr">
        <is>
          <t>Modality</t>
        </is>
      </c>
      <c r="B1436" s="12" t="inlineStr">
        <is>
          <t>—</t>
        </is>
      </c>
      <c r="E1436" s="45" t="inlineStr">
        <is>
          <t>Interface</t>
        </is>
      </c>
      <c r="F1436" s="12" t="inlineStr">
        <is>
          <t>Analog</t>
        </is>
      </c>
    </row>
    <row r="1437" outlineLevel="1" ht="15" customHeight="1">
      <c r="A1437" s="45" t="inlineStr">
        <is>
          <t>Supply</t>
        </is>
      </c>
      <c r="B1437" s="12" t="inlineStr">
        <is>
          <t>any</t>
        </is>
      </c>
      <c r="E1437" s="45" t="inlineStr">
        <is>
          <t>Price</t>
        </is>
      </c>
      <c r="F1437" s="12" t="inlineStr">
        <is>
          <t>$8  ($$)</t>
        </is>
      </c>
    </row>
    <row r="1438" outlineLevel="1" ht="15" customHeight="1">
      <c r="A1438" s="45" t="inlineStr">
        <is>
          <t>Difficulty</t>
        </is>
      </c>
      <c r="B1438" s="12" t="inlineStr">
        <is>
          <t>1 — Plug and play — Qwiic/STEMMA cable or 3 wires, library example works first time</t>
        </is>
      </c>
    </row>
    <row r="1439" outlineLevel="1" ht="23" customHeight="1">
      <c r="A1439" s="45" t="inlineStr">
        <is>
          <t>HOW</t>
        </is>
      </c>
      <c r="B1439" s="46" t="inlineStr">
        <is>
          <t>Conductive ink on plastic cracks apart microscopically when bent, raising resistance smoothly with curvature — the glove-controller classic.</t>
        </is>
      </c>
    </row>
    <row r="1440" outlineLevel="1" ht="19" customHeight="1">
      <c r="A1440" s="45" t="inlineStr">
        <is>
          <t>COMMON</t>
        </is>
      </c>
      <c r="B1440" s="46" t="inlineStr">
        <is>
          <t>Data gloves, animatronic puppets, door-hinge angle, posture wearables, page-fold detection.</t>
        </is>
      </c>
    </row>
    <row r="1441" outlineLevel="1" ht="23" customHeight="1">
      <c r="A1441" s="45" t="inlineStr">
        <is>
          <t>INVENTION</t>
        </is>
      </c>
      <c r="B1441" s="48" t="inlineStr">
        <is>
          <t>A sign-language-letters glove demo, or a fishing-rod 'bite amplifier' that buzzes your wrist when the rod tip flexes in the rhythm of a fish.</t>
        </is>
      </c>
    </row>
    <row r="1442" outlineLevel="1" ht="15" customHeight="1">
      <c r="A1442" s="45" t="inlineStr">
        <is>
          <t>PAIRS</t>
        </is>
      </c>
      <c r="B1442" s="46" t="inlineStr">
        <is>
          <t>5x on a glove + BLE, haptic feedback</t>
        </is>
      </c>
    </row>
    <row r="1443" outlineLevel="1" ht="15" customHeight="1">
      <c r="A1443" s="45" t="inlineStr">
        <is>
          <t>KEY</t>
        </is>
      </c>
      <c r="B1443" s="46" t="inlineStr">
        <is>
          <t>~25kΩ flat → ~100kΩ at 90°</t>
        </is>
      </c>
    </row>
    <row r="1444" outlineLevel="1" ht="16" customHeight="1">
      <c r="A1444" s="45" t="inlineStr">
        <is>
          <t>buy</t>
        </is>
      </c>
      <c r="B1444" s="49" t="inlineStr">
        <is>
          <t>SF · AF · DK · CE   |   boards: 2.2" and 4.5" strips   |   lib: analogRead   [High]</t>
        </is>
      </c>
    </row>
    <row r="1446" ht="22" customHeight="1">
      <c r="A1446" s="54" t="inlineStr">
        <is>
          <t>S110</t>
        </is>
      </c>
      <c r="B1446" s="55" t="inlineStr">
        <is>
          <t>Conductive rubber stretch cord   ·   2mm carbon-rubber cord</t>
        </is>
      </c>
    </row>
    <row r="1447" outlineLevel="1" ht="15" customHeight="1">
      <c r="A1447" s="45" t="inlineStr">
        <is>
          <t>Category</t>
        </is>
      </c>
      <c r="B1447" s="12" t="inlineStr">
        <is>
          <t>Flex &amp; Stretch › Stretch resistor</t>
        </is>
      </c>
      <c r="E1447" s="45" t="inlineStr">
        <is>
          <t>Measures</t>
        </is>
      </c>
      <c r="F1447" s="12" t="inlineStr">
        <is>
          <t>Elongation — resistance rises ~stretch</t>
        </is>
      </c>
    </row>
    <row r="1448" outlineLevel="1" ht="15" customHeight="1">
      <c r="A1448" s="45" t="inlineStr">
        <is>
          <t>Modality</t>
        </is>
      </c>
      <c r="B1448" s="12" t="inlineStr">
        <is>
          <t>—</t>
        </is>
      </c>
      <c r="E1448" s="45" t="inlineStr">
        <is>
          <t>Interface</t>
        </is>
      </c>
      <c r="F1448" s="12" t="inlineStr">
        <is>
          <t>Analog</t>
        </is>
      </c>
    </row>
    <row r="1449" outlineLevel="1" ht="15" customHeight="1">
      <c r="A1449" s="45" t="inlineStr">
        <is>
          <t>Supply</t>
        </is>
      </c>
      <c r="B1449" s="12" t="inlineStr">
        <is>
          <t>any</t>
        </is>
      </c>
      <c r="E1449" s="45" t="inlineStr">
        <is>
          <t>Price</t>
        </is>
      </c>
      <c r="F1449" s="12" t="inlineStr">
        <is>
          <t>$10  ($$)</t>
        </is>
      </c>
    </row>
    <row r="1450" outlineLevel="1" ht="15" customHeight="1">
      <c r="A1450" s="45" t="inlineStr">
        <is>
          <t>Difficulty</t>
        </is>
      </c>
      <c r="B1450" s="12" t="inlineStr">
        <is>
          <t>2 — Easy — breadboard wiring, a well-documented library, no analog thought needed</t>
        </is>
      </c>
    </row>
    <row r="1451" outlineLevel="1" ht="23" customHeight="1">
      <c r="A1451" s="45" t="inlineStr">
        <is>
          <t>HOW</t>
        </is>
      </c>
      <c r="B1451" s="46" t="inlineStr">
        <is>
          <t>Carbon-loaded silicone cord whose resistance increases as it stretches (~150Ω/cm relaxed); slow to relax but wonderfully fabric-friendly.</t>
        </is>
      </c>
    </row>
    <row r="1452" outlineLevel="1" ht="20" customHeight="1">
      <c r="A1452" s="45" t="inlineStr">
        <is>
          <t>COMMON</t>
        </is>
      </c>
      <c r="B1452" s="46" t="inlineStr">
        <is>
          <t>Breathing-band chest sensors, soft-robot proprioception, stretch-aware garments, drawer-open sensing.</t>
        </is>
      </c>
    </row>
    <row r="1453" outlineLevel="1" ht="21" customHeight="1">
      <c r="A1453" s="45" t="inlineStr">
        <is>
          <t>INVENTION</t>
        </is>
      </c>
      <c r="B1453" s="48" t="inlineStr">
        <is>
          <t>A breathing-paced meditation hoodie: chest stretch drives LED pulses in your hood's brim — biofeedback you wear.</t>
        </is>
      </c>
    </row>
    <row r="1454" outlineLevel="1" ht="15" customHeight="1">
      <c r="A1454" s="45" t="inlineStr">
        <is>
          <t>PAIRS</t>
        </is>
      </c>
      <c r="B1454" s="46" t="inlineStr">
        <is>
          <t>WS2812, low-pass filtering, BLE to phone</t>
        </is>
      </c>
    </row>
    <row r="1455" outlineLevel="1" ht="15" customHeight="1">
      <c r="A1455" s="45" t="inlineStr">
        <is>
          <t>KEY</t>
        </is>
      </c>
      <c r="B1455" s="46" t="inlineStr">
        <is>
          <t>Stretch to ~1.5-2x length; hysteresis is real</t>
        </is>
      </c>
    </row>
    <row r="1456" outlineLevel="1" ht="16" customHeight="1">
      <c r="A1456" s="45" t="inlineStr">
        <is>
          <t>buy</t>
        </is>
      </c>
      <c r="B1456" s="49" t="inlineStr">
        <is>
          <t>AF · AE   |   boards: Adafruit 519 (1m cord)   |   lib: analogRead + smoothing   [High]</t>
        </is>
      </c>
    </row>
    <row r="1458" ht="22" customHeight="1">
      <c r="A1458" s="54" t="inlineStr">
        <is>
          <t>S111</t>
        </is>
      </c>
      <c r="B1458" s="55" t="inlineStr">
        <is>
          <t>Bend Labs digital flex (1-axis)   ·   ADS One-Axis soft flex</t>
        </is>
      </c>
    </row>
    <row r="1459" outlineLevel="1" ht="15" customHeight="1">
      <c r="A1459" s="45" t="inlineStr">
        <is>
          <t>Category</t>
        </is>
      </c>
      <c r="B1459" s="12" t="inlineStr">
        <is>
          <t>Flex &amp; Stretch › Precision angle</t>
        </is>
      </c>
      <c r="E1459" s="45" t="inlineStr">
        <is>
          <t>Measures</t>
        </is>
      </c>
      <c r="F1459" s="12" t="inlineStr">
        <is>
          <t>True angular displacement ±0.5° digitally</t>
        </is>
      </c>
    </row>
    <row r="1460" outlineLevel="1" ht="15" customHeight="1">
      <c r="A1460" s="45" t="inlineStr">
        <is>
          <t>Modality</t>
        </is>
      </c>
      <c r="B1460" s="12" t="inlineStr">
        <is>
          <t>—</t>
        </is>
      </c>
      <c r="E1460" s="45" t="inlineStr">
        <is>
          <t>Interface</t>
        </is>
      </c>
      <c r="F1460" s="12" t="inlineStr">
        <is>
          <t>I2C</t>
        </is>
      </c>
    </row>
    <row r="1461" outlineLevel="1" ht="15" customHeight="1">
      <c r="A1461" s="45" t="inlineStr">
        <is>
          <t>Supply</t>
        </is>
      </c>
      <c r="B1461" s="12" t="inlineStr">
        <is>
          <t>1.7-3.6V</t>
        </is>
      </c>
      <c r="E1461" s="45" t="inlineStr">
        <is>
          <t>Price</t>
        </is>
      </c>
      <c r="F1461" s="12" t="inlineStr">
        <is>
          <t>$70  ($$$$)</t>
        </is>
      </c>
    </row>
    <row r="1462" outlineLevel="1" ht="15" customHeight="1">
      <c r="A1462" s="45" t="inlineStr">
        <is>
          <t>Difficulty</t>
        </is>
      </c>
      <c r="B1462" s="12" t="inlineStr">
        <is>
          <t>2 — Easy — breadboard wiring, a well-documented library, no analog thought needed</t>
        </is>
      </c>
    </row>
    <row r="1463" outlineLevel="1" ht="23" customHeight="1">
      <c r="A1463" s="45" t="inlineStr">
        <is>
          <t>HOW</t>
        </is>
      </c>
      <c r="B1463" s="46" t="inlineStr">
        <is>
          <t>A capacitive differential structure in silicone measures actual bend angle (not just 'some resistance change') with calibrated I2C output.</t>
        </is>
      </c>
    </row>
    <row r="1464" outlineLevel="1" ht="18" customHeight="1">
      <c r="A1464" s="45" t="inlineStr">
        <is>
          <t>COMMON</t>
        </is>
      </c>
      <c r="B1464" s="46" t="inlineStr">
        <is>
          <t>Clinical joint-angle measurement, precision animatronics, robotic soft grippers.</t>
        </is>
      </c>
    </row>
    <row r="1465" outlineLevel="1" ht="22" customHeight="1">
      <c r="A1465" s="45" t="inlineStr">
        <is>
          <t>INVENTION</t>
        </is>
      </c>
      <c r="B1465" s="48" t="inlineStr">
        <is>
          <t>Knee-rehab compliance tracker prescribing 'angle dose': did the patient actually hit 110° flexion 30 times today? Now you know.</t>
        </is>
      </c>
    </row>
    <row r="1466" outlineLevel="1" ht="15" customHeight="1">
      <c r="A1466" s="45" t="inlineStr">
        <is>
          <t>PAIRS</t>
        </is>
      </c>
      <c r="B1466" s="46" t="inlineStr">
        <is>
          <t>BLE + phone PT app, haptic coaching</t>
        </is>
      </c>
    </row>
    <row r="1467" outlineLevel="1" ht="16" customHeight="1">
      <c r="A1467" s="45" t="inlineStr">
        <is>
          <t>KEY</t>
        </is>
      </c>
      <c r="B1467" s="46" t="inlineStr">
        <is>
          <t>±0.5°, no drift with temperature like ink sensors</t>
        </is>
      </c>
    </row>
    <row r="1468" outlineLevel="1" ht="16" customHeight="1">
      <c r="A1468" s="45" t="inlineStr">
        <is>
          <t>buy</t>
        </is>
      </c>
      <c r="B1468" s="49" t="inlineStr">
        <is>
          <t>SF · DK   |   boards: SparkFun SEN-15245   |   lib: SparkFun ADS lib   [High]</t>
        </is>
      </c>
    </row>
    <row r="1470" ht="22" customHeight="1">
      <c r="A1470" s="70" t="inlineStr">
        <is>
          <t>S112</t>
        </is>
      </c>
      <c r="B1470" s="71" t="inlineStr">
        <is>
          <t>MAX30102 pulse oximeter   ·   MAX30102 / MAX30101</t>
        </is>
      </c>
    </row>
    <row r="1471" outlineLevel="1" ht="15" customHeight="1">
      <c r="A1471" s="45" t="inlineStr">
        <is>
          <t>Category</t>
        </is>
      </c>
      <c r="B1471" s="12" t="inlineStr">
        <is>
          <t>Biometric &amp; Health › Optical vitals (PPG)</t>
        </is>
      </c>
      <c r="E1471" s="45" t="inlineStr">
        <is>
          <t>Measures</t>
        </is>
      </c>
      <c r="F1471" s="12" t="inlineStr">
        <is>
          <t>Heart rate + blood oxygen (SpO2) from a fingertip</t>
        </is>
      </c>
    </row>
    <row r="1472" outlineLevel="1" ht="15" customHeight="1">
      <c r="A1472" s="45" t="inlineStr">
        <is>
          <t>Modality</t>
        </is>
      </c>
      <c r="B1472" s="12" t="inlineStr">
        <is>
          <t>Biological</t>
        </is>
      </c>
      <c r="E1472" s="45" t="inlineStr">
        <is>
          <t>Interface</t>
        </is>
      </c>
      <c r="F1472" s="12" t="inlineStr">
        <is>
          <t>I2C</t>
        </is>
      </c>
    </row>
    <row r="1473" outlineLevel="1" ht="15" customHeight="1">
      <c r="A1473" s="45" t="inlineStr">
        <is>
          <t>Supply</t>
        </is>
      </c>
      <c r="B1473" s="12" t="inlineStr">
        <is>
          <t>1.8V+3.3V (boards handle it)</t>
        </is>
      </c>
      <c r="E1473" s="45" t="inlineStr">
        <is>
          <t>Price</t>
        </is>
      </c>
      <c r="F1473" s="12" t="inlineStr">
        <is>
          <t>$6  ($$)</t>
        </is>
      </c>
    </row>
    <row r="1474" outlineLevel="1" ht="15" customHeight="1">
      <c r="A1474" s="45" t="inlineStr">
        <is>
          <t>Difficulty</t>
        </is>
      </c>
      <c r="B1474" s="12" t="inlineStr">
        <is>
          <t>2 — Easy — breadboard wiring, a well-documented library, no analog thought needed</t>
        </is>
      </c>
    </row>
    <row r="1475" outlineLevel="1" ht="24" customHeight="1">
      <c r="A1475" s="45" t="inlineStr">
        <is>
          <t>HOW</t>
        </is>
      </c>
      <c r="B1475" s="46" t="inlineStr">
        <is>
          <t>Red and infrared LEDs shine into skin; blood absorbs each differently as it pulses. The ratio of reflected light reveals both pulse and oxygen saturation.</t>
        </is>
      </c>
    </row>
    <row r="1476" outlineLevel="1" ht="63" customHeight="1">
      <c r="A1476" s="45" t="inlineStr">
        <is>
          <t>WHAT</t>
        </is>
      </c>
      <c r="B1476" s="47" t="inlineStr">
        <is>
          <t>Motion artefact is the dominant error and it is not a small effect — any movement swamps the pulse waveform entirely, which is why every serious wearable pairs this with an accelerometer purely to reject corrupted beats. Contact pressure changes the signal amplitude and the apparent SpO2 ratio. SpO2 from a reflectance sensor at the wrist is unreliable and must not be presented as a medical figure; even at a fingertip it needs calibration against a real oximeter to mean anything. Skin tone, tattoos and cold peripheries all reduce signal quality. The LEDs draw 20-50 mA when on, which the average current figure hides.</t>
        </is>
      </c>
    </row>
    <row r="1477" outlineLevel="1" ht="18" customHeight="1">
      <c r="A1477" s="45" t="inlineStr">
        <is>
          <t>COMMON</t>
        </is>
      </c>
      <c r="B1477" s="46" t="inlineStr">
        <is>
          <t>Pulse/SpO2 wearables, stress (HRV) experiments, sleep studies, fitness gadgets.</t>
        </is>
      </c>
    </row>
    <row r="1478" outlineLevel="1" ht="25" customHeight="1">
      <c r="A1478" s="45" t="inlineStr">
        <is>
          <t>INVENTION</t>
        </is>
      </c>
      <c r="B1478" s="48" t="inlineStr">
        <is>
          <t>HRV-driven everything: your heart-rate variability (stress proxy) dims lights, pauses notifications, or cues breathing exercises — physiology as an input device.</t>
        </is>
      </c>
    </row>
    <row r="1479" outlineLevel="1" ht="18" customHeight="1">
      <c r="A1479" s="45" t="inlineStr">
        <is>
          <t>REQUIRES</t>
        </is>
      </c>
      <c r="B1479" s="46" t="inlineStr">
        <is>
          <t>Firm, consistent skin contact; an IMU if you want usable data during movement</t>
        </is>
      </c>
    </row>
    <row r="1480" outlineLevel="1" ht="19" customHeight="1">
      <c r="A1480" s="45" t="inlineStr">
        <is>
          <t>SUBSTITUT</t>
        </is>
      </c>
      <c r="B1480" s="46" t="inlineStr">
        <is>
          <t>Electrical rather than optical, far more robust: AD8232 ECG. Synchronised both: MAX86150.</t>
        </is>
      </c>
    </row>
    <row r="1481" outlineLevel="1" ht="16" customHeight="1">
      <c r="A1481" s="45" t="inlineStr">
        <is>
          <t>PAIRS</t>
        </is>
      </c>
      <c r="B1481" s="46" t="inlineStr">
        <is>
          <t>ESP32-C3 wearable + BLE, haptics for biofeedback</t>
        </is>
      </c>
    </row>
    <row r="1482" outlineLevel="1" ht="15" customHeight="1">
      <c r="A1482" s="45" t="inlineStr">
        <is>
          <t>KEY</t>
        </is>
      </c>
      <c r="B1482" s="46" t="inlineStr">
        <is>
          <t>PPG @ up to 1kHz, IR+Red (30101 adds green)</t>
        </is>
      </c>
    </row>
    <row r="1483" outlineLevel="1" ht="27" customHeight="1">
      <c r="A1483" s="45" t="inlineStr">
        <is>
          <t>specs</t>
        </is>
      </c>
      <c r="B1483" s="49" t="inlineStr">
        <is>
          <t>Range: HR 30-240 bpm; SpO2 nominally 70-100%   Accuracy: HR good; SpO2 uncalibrated   Rate: up to 1 kHz PPG   I2C addr: 0x57 (fixed)   Calibration: Reference   Environment: Indoor   Lifecycle: Active   Maturity: Good   ESP32: Any variant</t>
        </is>
      </c>
    </row>
    <row r="1484" outlineLevel="1" ht="16" customHeight="1">
      <c r="A1484" s="45" t="inlineStr">
        <is>
          <t>buy</t>
        </is>
      </c>
      <c r="B1484" s="49" t="inlineStr">
        <is>
          <t>AE · SF · DK · MO   |   boards: GY-MAX30102, SparkFun 16474   |   lib: SparkFun MAX3010x, ProtoCentral   [High, 2026-07]</t>
        </is>
      </c>
    </row>
    <row r="1485" outlineLevel="1" ht="36" customHeight="1">
      <c r="A1485" s="50" t="inlineStr">
        <is>
          <t>unlocks</t>
        </is>
      </c>
      <c r="B1485" s="51" t="inlineStr">
        <is>
          <t>What is the heart rate?  •  How stressed or recovered is this body?  •  What is the blood oxygen saturation?  •  Is this person's arousal or stress rising?</t>
        </is>
      </c>
    </row>
    <row r="1487" ht="22" customHeight="1">
      <c r="A1487" s="54" t="inlineStr">
        <is>
          <t>S113</t>
        </is>
      </c>
      <c r="B1487" s="55" t="inlineStr">
        <is>
          <t>AD8232 ECG front-end   ·   AD8232</t>
        </is>
      </c>
    </row>
    <row r="1488" outlineLevel="1" ht="15" customHeight="1">
      <c r="A1488" s="45" t="inlineStr">
        <is>
          <t>Category</t>
        </is>
      </c>
      <c r="B1488" s="12" t="inlineStr">
        <is>
          <t>Biometric &amp; Health › Electrical vitals</t>
        </is>
      </c>
      <c r="E1488" s="45" t="inlineStr">
        <is>
          <t>Measures</t>
        </is>
      </c>
      <c r="F1488" s="12" t="inlineStr">
        <is>
          <t>Heart's electrical waveform (single-lead ECG)</t>
        </is>
      </c>
    </row>
    <row r="1489" outlineLevel="1" ht="15" customHeight="1">
      <c r="A1489" s="45" t="inlineStr">
        <is>
          <t>Modality</t>
        </is>
      </c>
      <c r="B1489" s="12" t="inlineStr">
        <is>
          <t>—</t>
        </is>
      </c>
      <c r="E1489" s="45" t="inlineStr">
        <is>
          <t>Interface</t>
        </is>
      </c>
      <c r="F1489" s="12" t="inlineStr">
        <is>
          <t>Analog</t>
        </is>
      </c>
    </row>
    <row r="1490" outlineLevel="1" ht="15" customHeight="1">
      <c r="A1490" s="45" t="inlineStr">
        <is>
          <t>Supply</t>
        </is>
      </c>
      <c r="B1490" s="12" t="inlineStr">
        <is>
          <t>2.0-3.5V</t>
        </is>
      </c>
      <c r="E1490" s="45" t="inlineStr">
        <is>
          <t>Price</t>
        </is>
      </c>
      <c r="F1490" s="12" t="inlineStr">
        <is>
          <t>$10  ($$)</t>
        </is>
      </c>
    </row>
    <row r="1491" outlineLevel="1" ht="15" customHeight="1">
      <c r="A1491" s="45" t="inlineStr">
        <is>
          <t>Difficulty</t>
        </is>
      </c>
      <c r="B1491" s="12" t="inlineStr">
        <is>
          <t>3 — Some skill — calibration, level shifting, timing, or datasheet reading required</t>
        </is>
      </c>
    </row>
    <row r="1492" outlineLevel="1" ht="25" customHeight="1">
      <c r="A1492" s="45" t="inlineStr">
        <is>
          <t>HOW</t>
        </is>
      </c>
      <c r="B1492" s="46" t="inlineStr">
        <is>
          <t>An instrumentation amplifier extracts the heart's millivolt electrical signal from three skin electrodes while rejecting mains hum — a real ECG trace into any ADC.</t>
        </is>
      </c>
    </row>
    <row r="1493" outlineLevel="1" ht="18" customHeight="1">
      <c r="A1493" s="45" t="inlineStr">
        <is>
          <t>COMMON</t>
        </is>
      </c>
      <c r="B1493" s="46" t="inlineStr">
        <is>
          <t>ECG learning projects, HRV research, biofeedback art, R-peak triggered experiments.</t>
        </is>
      </c>
    </row>
    <row r="1494" outlineLevel="1" ht="22" customHeight="1">
      <c r="A1494" s="45" t="inlineStr">
        <is>
          <t>INVENTION</t>
        </is>
      </c>
      <c r="B1494" s="48" t="inlineStr">
        <is>
          <t>Art that beats with you: your live ECG drives a room's light pulse. Or two people's hearts race each other on a wall display.</t>
        </is>
      </c>
    </row>
    <row r="1495" outlineLevel="1" ht="15" customHeight="1">
      <c r="A1495" s="45" t="inlineStr">
        <is>
          <t>PAIRS</t>
        </is>
      </c>
      <c r="B1495" s="46" t="inlineStr">
        <is>
          <t>I2S-ADC sampling, WS2812 wall, SD research logs</t>
        </is>
      </c>
    </row>
    <row r="1496" outlineLevel="1" ht="16" customHeight="1">
      <c r="A1496" s="45" t="inlineStr">
        <is>
          <t>KEY</t>
        </is>
      </c>
      <c r="B1496" s="46" t="inlineStr">
        <is>
          <t>Single lead, leads-off detection; NOT a medical device</t>
        </is>
      </c>
    </row>
    <row r="1497" outlineLevel="1" ht="16" customHeight="1">
      <c r="A1497" s="45" t="inlineStr">
        <is>
          <t>buy</t>
        </is>
      </c>
      <c r="B1497" s="49" t="inlineStr">
        <is>
          <t>SF · AE · DK · DFR   |   boards: SparkFun SEN-12650 + electrode pads   |   lib: analogRead @ 250Hz+   [High]</t>
        </is>
      </c>
    </row>
    <row r="1499" ht="22" customHeight="1">
      <c r="A1499" s="54" t="inlineStr">
        <is>
          <t>S114</t>
        </is>
      </c>
      <c r="B1499" s="55" t="inlineStr">
        <is>
          <t>MAX30205 clinical body temp   ·   MAX30205</t>
        </is>
      </c>
    </row>
    <row r="1500" outlineLevel="1" ht="15" customHeight="1">
      <c r="A1500" s="45" t="inlineStr">
        <is>
          <t>Category</t>
        </is>
      </c>
      <c r="B1500" s="12" t="inlineStr">
        <is>
          <t>Biometric &amp; Health › Body temperature</t>
        </is>
      </c>
      <c r="E1500" s="45" t="inlineStr">
        <is>
          <t>Measures</t>
        </is>
      </c>
      <c r="F1500" s="12" t="inlineStr">
        <is>
          <t>Skin/body temperature to medical accuracy</t>
        </is>
      </c>
    </row>
    <row r="1501" outlineLevel="1" ht="15" customHeight="1">
      <c r="A1501" s="45" t="inlineStr">
        <is>
          <t>Modality</t>
        </is>
      </c>
      <c r="B1501" s="12" t="inlineStr">
        <is>
          <t>—</t>
        </is>
      </c>
      <c r="E1501" s="45" t="inlineStr">
        <is>
          <t>Interface</t>
        </is>
      </c>
      <c r="F1501" s="12" t="inlineStr">
        <is>
          <t>I2C</t>
        </is>
      </c>
    </row>
    <row r="1502" outlineLevel="1" ht="15" customHeight="1">
      <c r="A1502" s="45" t="inlineStr">
        <is>
          <t>Supply</t>
        </is>
      </c>
      <c r="B1502" s="12" t="inlineStr">
        <is>
          <t>2.7-3.3V</t>
        </is>
      </c>
      <c r="E1502" s="45" t="inlineStr">
        <is>
          <t>Price</t>
        </is>
      </c>
      <c r="F1502" s="12" t="inlineStr">
        <is>
          <t>$9  ($$)</t>
        </is>
      </c>
    </row>
    <row r="1503" outlineLevel="1" ht="15" customHeight="1">
      <c r="A1503" s="45" t="inlineStr">
        <is>
          <t>Difficulty</t>
        </is>
      </c>
      <c r="B1503" s="12" t="inlineStr">
        <is>
          <t>1 — Plug and play — Qwiic/STEMMA cable or 3 wires, library example works first time</t>
        </is>
      </c>
    </row>
    <row r="1504" outlineLevel="1" ht="22" customHeight="1">
      <c r="A1504" s="45" t="inlineStr">
        <is>
          <t>HOW</t>
        </is>
      </c>
      <c r="B1504" s="46" t="inlineStr">
        <is>
          <t>A bandgap sensor factory-trimmed to ±0.1°C across the clinical range — the wearable-certified way to track body temperature.</t>
        </is>
      </c>
    </row>
    <row r="1505" outlineLevel="1" ht="19" customHeight="1">
      <c r="A1505" s="45" t="inlineStr">
        <is>
          <t>COMMON</t>
        </is>
      </c>
      <c r="B1505" s="46" t="inlineStr">
        <is>
          <t>Fever-watch wearables, basal body temperature (fertility), athlete heat-stress monitoring.</t>
        </is>
      </c>
    </row>
    <row r="1506" outlineLevel="1" ht="21" customHeight="1">
      <c r="A1506" s="45" t="inlineStr">
        <is>
          <t>INVENTION</t>
        </is>
      </c>
      <c r="B1506" s="48" t="inlineStr">
        <is>
          <t>An under-mattress basal thermometer that charts cycle phases automatically — no 6am beeping thermometer ritual.</t>
        </is>
      </c>
    </row>
    <row r="1507" outlineLevel="1" ht="15" customHeight="1">
      <c r="A1507" s="45" t="inlineStr">
        <is>
          <t>PAIRS</t>
        </is>
      </c>
      <c r="B1507" s="46" t="inlineStr">
        <is>
          <t>MAX30102 + IMU = vitals patch trio</t>
        </is>
      </c>
    </row>
    <row r="1508" outlineLevel="1" ht="15" customHeight="1">
      <c r="A1508" s="45" t="inlineStr">
        <is>
          <t>KEY</t>
        </is>
      </c>
      <c r="B1508" s="46" t="inlineStr">
        <is>
          <t>±0.1°C (37-39°C), 16-bit</t>
        </is>
      </c>
    </row>
    <row r="1509" outlineLevel="1" ht="16" customHeight="1">
      <c r="A1509" s="45" t="inlineStr">
        <is>
          <t>buy</t>
        </is>
      </c>
      <c r="B1509" s="49" t="inlineStr">
        <is>
          <t>DK · MO · AE   |   boards: ProtoCentral/CJMCU boards   |   lib: ProtoCentral MAX30205   [High]</t>
        </is>
      </c>
    </row>
    <row r="1511" ht="22" customHeight="1">
      <c r="A1511" s="54" t="inlineStr">
        <is>
          <t>S115</t>
        </is>
      </c>
      <c r="B1511" s="55" t="inlineStr">
        <is>
          <t>MyoWare 2.0 EMG   ·   MyoWare 2.0</t>
        </is>
      </c>
    </row>
    <row r="1512" outlineLevel="1" ht="15" customHeight="1">
      <c r="A1512" s="45" t="inlineStr">
        <is>
          <t>Category</t>
        </is>
      </c>
      <c r="B1512" s="12" t="inlineStr">
        <is>
          <t>Biometric &amp; Health › Muscle electrical</t>
        </is>
      </c>
      <c r="E1512" s="45" t="inlineStr">
        <is>
          <t>Measures</t>
        </is>
      </c>
      <c r="F1512" s="12" t="inlineStr">
        <is>
          <t>Muscle activation intensity (electromyography)</t>
        </is>
      </c>
    </row>
    <row r="1513" outlineLevel="1" ht="15" customHeight="1">
      <c r="A1513" s="45" t="inlineStr">
        <is>
          <t>Modality</t>
        </is>
      </c>
      <c r="B1513" s="12" t="inlineStr">
        <is>
          <t>—</t>
        </is>
      </c>
      <c r="E1513" s="45" t="inlineStr">
        <is>
          <t>Interface</t>
        </is>
      </c>
      <c r="F1513" s="12" t="inlineStr">
        <is>
          <t>Analog</t>
        </is>
      </c>
    </row>
    <row r="1514" outlineLevel="1" ht="15" customHeight="1">
      <c r="A1514" s="45" t="inlineStr">
        <is>
          <t>Supply</t>
        </is>
      </c>
      <c r="B1514" s="12" t="inlineStr">
        <is>
          <t>3.3-5V</t>
        </is>
      </c>
      <c r="E1514" s="45" t="inlineStr">
        <is>
          <t>Price</t>
        </is>
      </c>
      <c r="F1514" s="12" t="inlineStr">
        <is>
          <t>$40  ($$$)</t>
        </is>
      </c>
    </row>
    <row r="1515" outlineLevel="1" ht="15" customHeight="1">
      <c r="A1515" s="45" t="inlineStr">
        <is>
          <t>Difficulty</t>
        </is>
      </c>
      <c r="B1515" s="12" t="inlineStr">
        <is>
          <t>3 — Some skill — calibration, level shifting, timing, or datasheet reading required</t>
        </is>
      </c>
    </row>
    <row r="1516" outlineLevel="1" ht="26" customHeight="1">
      <c r="A1516" s="45" t="inlineStr">
        <is>
          <t>HOW</t>
        </is>
      </c>
      <c r="B1516" s="46" t="inlineStr">
        <is>
          <t>Surface electrodes pick up the microvolt electrical chatter of contracting muscle fibres; onboard amps rectify and smooth it into an envelope your ADC reads as 'effort'.</t>
        </is>
      </c>
    </row>
    <row r="1517" outlineLevel="1" ht="19" customHeight="1">
      <c r="A1517" s="45" t="inlineStr">
        <is>
          <t>COMMON</t>
        </is>
      </c>
      <c r="B1517" s="46" t="inlineStr">
        <is>
          <t>Muscle-controlled prosthetics/robots, gaming inputs, physio progress, posture-muscle alarms.</t>
        </is>
      </c>
    </row>
    <row r="1518" outlineLevel="1" ht="23" customHeight="1">
      <c r="A1518" s="45" t="inlineStr">
        <is>
          <t>INVENTION</t>
        </is>
      </c>
      <c r="B1518" s="48" t="inlineStr">
        <is>
          <t>Flex-to-control anything: a forearm band where clenching drives a robot gripper — the most visceral human-machine demo you can build in a day.</t>
        </is>
      </c>
    </row>
    <row r="1519" outlineLevel="1" ht="15" customHeight="1">
      <c r="A1519" s="45" t="inlineStr">
        <is>
          <t>PAIRS</t>
        </is>
      </c>
      <c r="B1519" s="46" t="inlineStr">
        <is>
          <t>Servo gripper, BLE wearable hub, haptic confirm</t>
        </is>
      </c>
    </row>
    <row r="1520" outlineLevel="1" ht="15" customHeight="1">
      <c r="A1520" s="45" t="inlineStr">
        <is>
          <t>KEY</t>
        </is>
      </c>
      <c r="B1520" s="46" t="inlineStr">
        <is>
          <t>Snap electrodes, shielded design, stackable</t>
        </is>
      </c>
    </row>
    <row r="1521" outlineLevel="1" ht="16" customHeight="1">
      <c r="A1521" s="45" t="inlineStr">
        <is>
          <t>buy</t>
        </is>
      </c>
      <c r="B1521" s="49" t="inlineStr">
        <is>
          <t>SF · DK · MO · CE   |   boards: MyoWare 2.0 + electrode 3-packs   |   lib: analogRead   [High]</t>
        </is>
      </c>
    </row>
    <row r="1523" ht="22" customHeight="1">
      <c r="A1523" s="54" t="inlineStr">
        <is>
          <t>S116</t>
        </is>
      </c>
      <c r="B1523" s="55" t="inlineStr">
        <is>
          <t>GSR / EDA sensor   ·   Grove GSR</t>
        </is>
      </c>
    </row>
    <row r="1524" outlineLevel="1" ht="15" customHeight="1">
      <c r="A1524" s="45" t="inlineStr">
        <is>
          <t>Category</t>
        </is>
      </c>
      <c r="B1524" s="12" t="inlineStr">
        <is>
          <t>Biometric &amp; Health › Skin conductance</t>
        </is>
      </c>
      <c r="E1524" s="45" t="inlineStr">
        <is>
          <t>Measures</t>
        </is>
      </c>
      <c r="F1524" s="12" t="inlineStr">
        <is>
          <t>Emotional arousal via skin sweat conductance</t>
        </is>
      </c>
    </row>
    <row r="1525" outlineLevel="1" ht="15" customHeight="1">
      <c r="A1525" s="45" t="inlineStr">
        <is>
          <t>Modality</t>
        </is>
      </c>
      <c r="B1525" s="12" t="inlineStr">
        <is>
          <t>—</t>
        </is>
      </c>
      <c r="E1525" s="45" t="inlineStr">
        <is>
          <t>Interface</t>
        </is>
      </c>
      <c r="F1525" s="12" t="inlineStr">
        <is>
          <t>Analog</t>
        </is>
      </c>
    </row>
    <row r="1526" outlineLevel="1" ht="15" customHeight="1">
      <c r="A1526" s="45" t="inlineStr">
        <is>
          <t>Supply</t>
        </is>
      </c>
      <c r="B1526" s="12" t="inlineStr">
        <is>
          <t>3.3-5V</t>
        </is>
      </c>
      <c r="E1526" s="45" t="inlineStr">
        <is>
          <t>Price</t>
        </is>
      </c>
      <c r="F1526" s="12" t="inlineStr">
        <is>
          <t>$10  ($$)</t>
        </is>
      </c>
    </row>
    <row r="1527" outlineLevel="1" ht="15" customHeight="1">
      <c r="A1527" s="45" t="inlineStr">
        <is>
          <t>Difficulty</t>
        </is>
      </c>
      <c r="B1527" s="12" t="inlineStr">
        <is>
          <t>2 — Easy — breadboard wiring, a well-documented library, no analog thought needed</t>
        </is>
      </c>
    </row>
    <row r="1528" outlineLevel="1" ht="24" customHeight="1">
      <c r="A1528" s="45" t="inlineStr">
        <is>
          <t>HOW</t>
        </is>
      </c>
      <c r="B1528" s="46" t="inlineStr">
        <is>
          <t>Two finger electrodes pass a tiny current; stress activates sweat glands within seconds, measurably raising conductance — the polygraph's core channel.</t>
        </is>
      </c>
    </row>
    <row r="1529" outlineLevel="1" ht="20" customHeight="1">
      <c r="A1529" s="45" t="inlineStr">
        <is>
          <t>COMMON</t>
        </is>
      </c>
      <c r="B1529" s="46" t="inlineStr">
        <is>
          <t>Stress dashboards, meditation biofeedback, UX-research arousal logging, lie-detector party games.</t>
        </is>
      </c>
    </row>
    <row r="1530" outlineLevel="1" ht="22" customHeight="1">
      <c r="A1530" s="45" t="inlineStr">
        <is>
          <t>INVENTION</t>
        </is>
      </c>
      <c r="B1530" s="48" t="inlineStr">
        <is>
          <t>A 'calm trainer' desk orb that glows warmer as your skin conductance drops — visible, gentle operant conditioning for stress.</t>
        </is>
      </c>
    </row>
    <row r="1531" outlineLevel="1" ht="15" customHeight="1">
      <c r="A1531" s="45" t="inlineStr">
        <is>
          <t>PAIRS</t>
        </is>
      </c>
      <c r="B1531" s="46" t="inlineStr">
        <is>
          <t>MAX30102 HRV for 2-channel affect sensing</t>
        </is>
      </c>
    </row>
    <row r="1532" outlineLevel="1" ht="15" customHeight="1">
      <c r="A1532" s="45" t="inlineStr">
        <is>
          <t>KEY</t>
        </is>
      </c>
      <c r="B1532" s="46" t="inlineStr">
        <is>
          <t>Finger-strap electrodes</t>
        </is>
      </c>
    </row>
    <row r="1533" outlineLevel="1" ht="16" customHeight="1">
      <c r="A1533" s="45" t="inlineStr">
        <is>
          <t>buy</t>
        </is>
      </c>
      <c r="B1533" s="49" t="inlineStr">
        <is>
          <t>SS · AE   |   boards: Grove GSR kit   |   lib: analogRead + baseline math   [High]</t>
        </is>
      </c>
    </row>
    <row r="1535" ht="22" customHeight="1">
      <c r="A1535" s="54" t="inlineStr">
        <is>
          <t>S117</t>
        </is>
      </c>
      <c r="B1535" s="55" t="inlineStr">
        <is>
          <t>MLX90614 forehead mode   ·   MLX90614-DCI (medical FOV)</t>
        </is>
      </c>
    </row>
    <row r="1536" outlineLevel="1" ht="15" customHeight="1">
      <c r="A1536" s="45" t="inlineStr">
        <is>
          <t>Category</t>
        </is>
      </c>
      <c r="B1536" s="12" t="inlineStr">
        <is>
          <t>Biometric &amp; Health › Non-contact temp</t>
        </is>
      </c>
      <c r="E1536" s="45" t="inlineStr">
        <is>
          <t>Measures</t>
        </is>
      </c>
      <c r="F1536" s="12" t="inlineStr">
        <is>
          <t>Body temp at 3-5cm without contact</t>
        </is>
      </c>
    </row>
    <row r="1537" outlineLevel="1" ht="15" customHeight="1">
      <c r="A1537" s="45" t="inlineStr">
        <is>
          <t>Modality</t>
        </is>
      </c>
      <c r="B1537" s="12" t="inlineStr">
        <is>
          <t>—</t>
        </is>
      </c>
      <c r="E1537" s="45" t="inlineStr">
        <is>
          <t>Interface</t>
        </is>
      </c>
      <c r="F1537" s="12" t="inlineStr">
        <is>
          <t>I2C</t>
        </is>
      </c>
    </row>
    <row r="1538" outlineLevel="1" ht="15" customHeight="1">
      <c r="A1538" s="45" t="inlineStr">
        <is>
          <t>Supply</t>
        </is>
      </c>
      <c r="B1538" s="12" t="inlineStr">
        <is>
          <t>3.3V</t>
        </is>
      </c>
      <c r="E1538" s="45" t="inlineStr">
        <is>
          <t>Price</t>
        </is>
      </c>
      <c r="F1538" s="12" t="inlineStr">
        <is>
          <t>$25  ($$$)</t>
        </is>
      </c>
    </row>
    <row r="1539" outlineLevel="1" ht="15" customHeight="1">
      <c r="A1539" s="45" t="inlineStr">
        <is>
          <t>Difficulty</t>
        </is>
      </c>
      <c r="B1539" s="12" t="inlineStr">
        <is>
          <t>1 — Plug and play — Qwiic/STEMMA cable or 3 wires, library example works first time</t>
        </is>
      </c>
    </row>
    <row r="1540" outlineLevel="1" ht="21" customHeight="1">
      <c r="A1540" s="45" t="inlineStr">
        <is>
          <t>HOW</t>
        </is>
      </c>
      <c r="B1540" s="46" t="inlineStr">
        <is>
          <t>Medical-accuracy gradient-compensated variant of the IR thermometer with narrow field of view for forehead screening.</t>
        </is>
      </c>
    </row>
    <row r="1541" outlineLevel="1" ht="18" customHeight="1">
      <c r="A1541" s="45" t="inlineStr">
        <is>
          <t>COMMON</t>
        </is>
      </c>
      <c r="B1541" s="46" t="inlineStr">
        <is>
          <t>Entry screening gadgets, contactless baby thermometers, incubator monitoring.</t>
        </is>
      </c>
    </row>
    <row r="1542" outlineLevel="1" ht="21" customHeight="1">
      <c r="A1542" s="45" t="inlineStr">
        <is>
          <t>INVENTION</t>
        </is>
      </c>
      <c r="B1542" s="48" t="inlineStr">
        <is>
          <t>Crib-side fever sentinel: periodic contactless forehead reads while baby sleeps; trend alarm, no waking, no wearable.</t>
        </is>
      </c>
    </row>
    <row r="1543" outlineLevel="1" ht="15" customHeight="1">
      <c r="A1543" s="45" t="inlineStr">
        <is>
          <t>PAIRS</t>
        </is>
      </c>
      <c r="B1543" s="46" t="inlineStr">
        <is>
          <t>Servo aiming + camera framing, push alerts</t>
        </is>
      </c>
    </row>
    <row r="1544" outlineLevel="1" ht="15" customHeight="1">
      <c r="A1544" s="45" t="inlineStr">
        <is>
          <t>KEY</t>
        </is>
      </c>
      <c r="B1544" s="46" t="inlineStr">
        <is>
          <t>±0.2°C medical band, 5° FOV variant</t>
        </is>
      </c>
    </row>
    <row r="1545" outlineLevel="1" ht="16" customHeight="1">
      <c r="A1545" s="45" t="inlineStr">
        <is>
          <t>buy</t>
        </is>
      </c>
      <c r="B1545" s="49" t="inlineStr">
        <is>
          <t>DK · MO · AE   |   boards: GY-906-DCI   |   lib: Adafruit_MLX90614   [High]</t>
        </is>
      </c>
    </row>
    <row r="1547" ht="22" customHeight="1">
      <c r="A1547" s="54" t="inlineStr">
        <is>
          <t>S118</t>
        </is>
      </c>
      <c r="B1547" s="55" t="inlineStr">
        <is>
          <t>Pulse sensor (PPG classic)   ·   PulseSensor.com / XD-58C</t>
        </is>
      </c>
    </row>
    <row r="1548" outlineLevel="1" ht="15" customHeight="1">
      <c r="A1548" s="45" t="inlineStr">
        <is>
          <t>Category</t>
        </is>
      </c>
      <c r="B1548" s="12" t="inlineStr">
        <is>
          <t>Biometric &amp; Health › Optical vitals (PPG)</t>
        </is>
      </c>
      <c r="E1548" s="45" t="inlineStr">
        <is>
          <t>Measures</t>
        </is>
      </c>
      <c r="F1548" s="12" t="inlineStr">
        <is>
          <t>Heart pulses (analog PPG wave)</t>
        </is>
      </c>
    </row>
    <row r="1549" outlineLevel="1" ht="15" customHeight="1">
      <c r="A1549" s="45" t="inlineStr">
        <is>
          <t>Modality</t>
        </is>
      </c>
      <c r="B1549" s="12" t="inlineStr">
        <is>
          <t>—</t>
        </is>
      </c>
      <c r="E1549" s="45" t="inlineStr">
        <is>
          <t>Interface</t>
        </is>
      </c>
      <c r="F1549" s="12" t="inlineStr">
        <is>
          <t>Analog</t>
        </is>
      </c>
    </row>
    <row r="1550" outlineLevel="1" ht="15" customHeight="1">
      <c r="A1550" s="45" t="inlineStr">
        <is>
          <t>Supply</t>
        </is>
      </c>
      <c r="B1550" s="12" t="inlineStr">
        <is>
          <t>3.3-5V</t>
        </is>
      </c>
      <c r="E1550" s="45" t="inlineStr">
        <is>
          <t>Price</t>
        </is>
      </c>
      <c r="F1550" s="12" t="inlineStr">
        <is>
          <t>$5  ($$)</t>
        </is>
      </c>
    </row>
    <row r="1551" outlineLevel="1" ht="15" customHeight="1">
      <c r="A1551" s="45" t="inlineStr">
        <is>
          <t>Difficulty</t>
        </is>
      </c>
      <c r="B1551" s="12" t="inlineStr">
        <is>
          <t>1 — Plug and play — Qwiic/STEMMA cable or 3 wires, library example works first time</t>
        </is>
      </c>
    </row>
    <row r="1552" outlineLevel="1" ht="22" customHeight="1">
      <c r="A1552" s="45" t="inlineStr">
        <is>
          <t>HOW</t>
        </is>
      </c>
      <c r="B1552" s="46" t="inlineStr">
        <is>
          <t>Green LED + photodiode + amplifier in a fingertip-friendly button — the simplest possible heartbeat input, one analog pin.</t>
        </is>
      </c>
    </row>
    <row r="1553" outlineLevel="1" ht="18" customHeight="1">
      <c r="A1553" s="45" t="inlineStr">
        <is>
          <t>COMMON</t>
        </is>
      </c>
      <c r="B1553" s="46" t="inlineStr">
        <is>
          <t>Heartbeat-reactive art, classroom biology, BPM displays, music-sync experiments.</t>
        </is>
      </c>
    </row>
    <row r="1554" outlineLevel="1" ht="20" customHeight="1">
      <c r="A1554" s="45" t="inlineStr">
        <is>
          <t>INVENTION</t>
        </is>
      </c>
      <c r="B1554" s="48" t="inlineStr">
        <is>
          <t>A two-player 'heart duel' game: lowest resting BPM under pressure wins. Cardio meets poker face.</t>
        </is>
      </c>
    </row>
    <row r="1555" outlineLevel="1" ht="16" customHeight="1">
      <c r="A1555" s="45" t="inlineStr">
        <is>
          <t>PAIRS</t>
        </is>
      </c>
      <c r="B1555" s="46" t="inlineStr">
        <is>
          <t>WS2812 heart visualisations, DAC heartbeat audio</t>
        </is>
      </c>
    </row>
    <row r="1556" outlineLevel="1" ht="15" customHeight="1">
      <c r="A1556" s="45" t="inlineStr">
        <is>
          <t>KEY</t>
        </is>
      </c>
      <c r="B1556" s="46" t="inlineStr">
        <is>
          <t>Analog waveform; beat detection in software</t>
        </is>
      </c>
    </row>
    <row r="1557" outlineLevel="1" ht="16" customHeight="1">
      <c r="A1557" s="45" t="inlineStr">
        <is>
          <t>buy</t>
        </is>
      </c>
      <c r="B1557" s="49" t="inlineStr">
        <is>
          <t>AE · SF · AMZ · DFR   |   boards: XD-58C clone / official PulseSensor   |   lib: PulseSensor Playground   [High]</t>
        </is>
      </c>
    </row>
    <row r="1559" ht="22" customHeight="1">
      <c r="A1559" s="54" t="inlineStr">
        <is>
          <t>S119</t>
        </is>
      </c>
      <c r="B1559" s="55" t="inlineStr">
        <is>
          <t>BioAmp EXG Pill   ·   UpsideDownLabs EXG</t>
        </is>
      </c>
    </row>
    <row r="1560" outlineLevel="1" ht="15" customHeight="1">
      <c r="A1560" s="45" t="inlineStr">
        <is>
          <t>Category</t>
        </is>
      </c>
      <c r="B1560" s="12" t="inlineStr">
        <is>
          <t>Biometric &amp; Health › Electrical vitals</t>
        </is>
      </c>
      <c r="E1560" s="45" t="inlineStr">
        <is>
          <t>Measures</t>
        </is>
      </c>
      <c r="F1560" s="12" t="inlineStr">
        <is>
          <t>ECG, EMG, EOG (eye movement), EEG-adjacent signals</t>
        </is>
      </c>
    </row>
    <row r="1561" outlineLevel="1" ht="15" customHeight="1">
      <c r="A1561" s="45" t="inlineStr">
        <is>
          <t>Modality</t>
        </is>
      </c>
      <c r="B1561" s="12" t="inlineStr">
        <is>
          <t>—</t>
        </is>
      </c>
      <c r="E1561" s="45" t="inlineStr">
        <is>
          <t>Interface</t>
        </is>
      </c>
      <c r="F1561" s="12" t="inlineStr">
        <is>
          <t>Analog</t>
        </is>
      </c>
    </row>
    <row r="1562" outlineLevel="1" ht="15" customHeight="1">
      <c r="A1562" s="45" t="inlineStr">
        <is>
          <t>Supply</t>
        </is>
      </c>
      <c r="B1562" s="12" t="inlineStr">
        <is>
          <t>3.3-5V</t>
        </is>
      </c>
      <c r="E1562" s="45" t="inlineStr">
        <is>
          <t>Price</t>
        </is>
      </c>
      <c r="F1562" s="12" t="inlineStr">
        <is>
          <t>$25  ($$$)</t>
        </is>
      </c>
    </row>
    <row r="1563" outlineLevel="1" ht="15" customHeight="1">
      <c r="A1563" s="45" t="inlineStr">
        <is>
          <t>Difficulty</t>
        </is>
      </c>
      <c r="B1563" s="12" t="inlineStr">
        <is>
          <t>4 — Advanced — analog front-ends, protocol work, mechanical integration, or real safety</t>
        </is>
      </c>
    </row>
    <row r="1564" outlineLevel="1" ht="22" customHeight="1">
      <c r="A1564" s="45" t="inlineStr">
        <is>
          <t>HOW</t>
        </is>
      </c>
      <c r="B1564" s="46" t="inlineStr">
        <is>
          <t>A general-purpose biopotential amplifier pill — one board for heart, muscle, and eye signals depending on electrode placement.</t>
        </is>
      </c>
    </row>
    <row r="1565" outlineLevel="1" ht="20" customHeight="1">
      <c r="A1565" s="45" t="inlineStr">
        <is>
          <t>COMMON</t>
        </is>
      </c>
      <c r="B1565" s="46" t="inlineStr">
        <is>
          <t>Eye-controlled interfaces (EOG), blink switches for accessibility, multi-modal biosignal research.</t>
        </is>
      </c>
    </row>
    <row r="1566" outlineLevel="1" ht="24" customHeight="1">
      <c r="A1566" s="45" t="inlineStr">
        <is>
          <t>INVENTION</t>
        </is>
      </c>
      <c r="B1566" s="48" t="inlineStr">
        <is>
          <t>Accessibility switch from a blink: EOG blink-detection drives switch-access for people who can only move their eyes — life-changing for tens of dollars.</t>
        </is>
      </c>
    </row>
    <row r="1567" outlineLevel="1" ht="16" customHeight="1">
      <c r="A1567" s="45" t="inlineStr">
        <is>
          <t>PAIRS</t>
        </is>
      </c>
      <c r="B1567" s="46" t="inlineStr">
        <is>
          <t>BLE HID keyboard emulation, debounced blink classifier</t>
        </is>
      </c>
    </row>
    <row r="1568" outlineLevel="1" ht="15" customHeight="1">
      <c r="A1568" s="45" t="inlineStr">
        <is>
          <t>KEY</t>
        </is>
      </c>
      <c r="B1568" s="46" t="inlineStr">
        <is>
          <t>x10000 gain chain, needs clean ADC sampling</t>
        </is>
      </c>
    </row>
    <row r="1569" outlineLevel="1" ht="16" customHeight="1">
      <c r="A1569" s="45" t="inlineStr">
        <is>
          <t>buy</t>
        </is>
      </c>
      <c r="B1569" s="49" t="inlineStr">
        <is>
          <t>UDL · AMZ   |   boards: BioAmp EXG Pill + gel electrodes   |   lib: Upside Down Labs examples   [High]</t>
        </is>
      </c>
    </row>
    <row r="1571" ht="22" customHeight="1">
      <c r="A1571" s="54" t="inlineStr">
        <is>
          <t>S120</t>
        </is>
      </c>
      <c r="B1571" s="55" t="inlineStr">
        <is>
          <t>Fingerprint reader R503   ·   R503 (optical, round)</t>
        </is>
      </c>
    </row>
    <row r="1572" outlineLevel="1" ht="15" customHeight="1">
      <c r="A1572" s="45" t="inlineStr">
        <is>
          <t>Category</t>
        </is>
      </c>
      <c r="B1572" s="12" t="inlineStr">
        <is>
          <t>Identity &amp; Tags › Biometric identification</t>
        </is>
      </c>
      <c r="E1572" s="45" t="inlineStr">
        <is>
          <t>Measures</t>
        </is>
      </c>
      <c r="F1572" s="12" t="inlineStr">
        <is>
          <t>Fingerprint enrolment + 1:N matching onboard</t>
        </is>
      </c>
    </row>
    <row r="1573" outlineLevel="1" ht="15" customHeight="1">
      <c r="A1573" s="45" t="inlineStr">
        <is>
          <t>Modality</t>
        </is>
      </c>
      <c r="B1573" s="12" t="inlineStr">
        <is>
          <t>—</t>
        </is>
      </c>
      <c r="E1573" s="45" t="inlineStr">
        <is>
          <t>Interface</t>
        </is>
      </c>
      <c r="F1573" s="12" t="inlineStr">
        <is>
          <t>UART</t>
        </is>
      </c>
    </row>
    <row r="1574" outlineLevel="1" ht="15" customHeight="1">
      <c r="A1574" s="45" t="inlineStr">
        <is>
          <t>Supply</t>
        </is>
      </c>
      <c r="B1574" s="12" t="inlineStr">
        <is>
          <t>3.3V</t>
        </is>
      </c>
      <c r="E1574" s="45" t="inlineStr">
        <is>
          <t>Price</t>
        </is>
      </c>
      <c r="F1574" s="12" t="inlineStr">
        <is>
          <t>$20  ($$$)</t>
        </is>
      </c>
    </row>
    <row r="1575" outlineLevel="1" ht="15" customHeight="1">
      <c r="A1575" s="45" t="inlineStr">
        <is>
          <t>Difficulty</t>
        </is>
      </c>
      <c r="B1575" s="12" t="inlineStr">
        <is>
          <t>2 — Easy — breadboard wiring, a well-documented library, no analog thought needed</t>
        </is>
      </c>
    </row>
    <row r="1576" outlineLevel="1" ht="32" customHeight="1">
      <c r="A1576" s="45" t="inlineStr">
        <is>
          <t>HOW</t>
        </is>
      </c>
      <c r="B1576" s="46" t="inlineStr">
        <is>
          <t>An OPTICAL imaging window with a processor that stores templates and does the matching on-module — your ESP32 just hears 'finger #3 matched' over UART. (Capacitive readers such as the GT-521F52 family work differently and are not interchangeable.)</t>
        </is>
      </c>
    </row>
    <row r="1577" outlineLevel="1" ht="18" customHeight="1">
      <c r="A1577" s="45" t="inlineStr">
        <is>
          <t>COMMON</t>
        </is>
      </c>
      <c r="B1577" s="46" t="inlineStr">
        <is>
          <t>Door/locker locks, tool-crib checkout, machine operator authorisation, attendance.</t>
        </is>
      </c>
    </row>
    <row r="1578" outlineLevel="1" ht="22" customHeight="1">
      <c r="A1578" s="45" t="inlineStr">
        <is>
          <t>INVENTION</t>
        </is>
      </c>
      <c r="B1578" s="48" t="inlineStr">
        <is>
          <t>A 'dangerous tool' interlock: table saw only spins for enrolled adults — fingerprint ring glows green, contactor closes.</t>
        </is>
      </c>
    </row>
    <row r="1579" outlineLevel="1" ht="16" customHeight="1">
      <c r="A1579" s="45" t="inlineStr">
        <is>
          <t>PAIRS</t>
        </is>
      </c>
      <c r="B1579" s="46" t="inlineStr">
        <is>
          <t>Relay/contactor, solenoid latch, audit log to SD</t>
        </is>
      </c>
    </row>
    <row r="1580" outlineLevel="1" ht="15" customHeight="1">
      <c r="A1580" s="45" t="inlineStr">
        <is>
          <t>KEY</t>
        </is>
      </c>
      <c r="B1580" s="46" t="inlineStr">
        <is>
          <t>R503: round, RGB ring, 200 prints, IP65 face</t>
        </is>
      </c>
    </row>
    <row r="1581" outlineLevel="1" ht="16" customHeight="1">
      <c r="A1581" s="45" t="inlineStr">
        <is>
          <t>buy</t>
        </is>
      </c>
      <c r="B1581" s="49" t="inlineStr">
        <is>
          <t>AE · SF · DFR   |   boards: R503 (round) / GT-521F52   |   lib: Adafruit_Fingerprint   [High]</t>
        </is>
      </c>
    </row>
    <row r="1583" ht="22" customHeight="1">
      <c r="A1583" s="54" t="inlineStr">
        <is>
          <t>S121</t>
        </is>
      </c>
      <c r="B1583" s="55" t="inlineStr">
        <is>
          <t>Anemometer cup sensor   ·   WH-SP-WS01 / Davis 6410</t>
        </is>
      </c>
    </row>
    <row r="1584" outlineLevel="1" ht="15" customHeight="1">
      <c r="A1584" s="45" t="inlineStr">
        <is>
          <t>Category</t>
        </is>
      </c>
      <c r="B1584" s="12" t="inlineStr">
        <is>
          <t>Weather &amp; Outdoor › Wind speed</t>
        </is>
      </c>
      <c r="E1584" s="45" t="inlineStr">
        <is>
          <t>Measures</t>
        </is>
      </c>
      <c r="F1584" s="12" t="inlineStr">
        <is>
          <t>Wind speed via rotating cups</t>
        </is>
      </c>
    </row>
    <row r="1585" outlineLevel="1" ht="15" customHeight="1">
      <c r="A1585" s="45" t="inlineStr">
        <is>
          <t>Modality</t>
        </is>
      </c>
      <c r="B1585" s="12" t="inlineStr">
        <is>
          <t>—</t>
        </is>
      </c>
      <c r="E1585" s="45" t="inlineStr">
        <is>
          <t>Interface</t>
        </is>
      </c>
      <c r="F1585" s="12" t="inlineStr">
        <is>
          <t>Pulse</t>
        </is>
      </c>
    </row>
    <row r="1586" outlineLevel="1" ht="15" customHeight="1">
      <c r="A1586" s="45" t="inlineStr">
        <is>
          <t>Supply</t>
        </is>
      </c>
      <c r="B1586" s="12" t="inlineStr">
        <is>
          <t>passive switch</t>
        </is>
      </c>
      <c r="E1586" s="45" t="inlineStr">
        <is>
          <t>Price</t>
        </is>
      </c>
      <c r="F1586" s="12" t="inlineStr">
        <is>
          <t>$12  ($$)</t>
        </is>
      </c>
    </row>
    <row r="1587" outlineLevel="1" ht="15" customHeight="1">
      <c r="A1587" s="45" t="inlineStr">
        <is>
          <t>Difficulty</t>
        </is>
      </c>
      <c r="B1587" s="12" t="inlineStr">
        <is>
          <t>1 — Plug and play — Qwiic/STEMMA cable or 3 wires, library example works first time</t>
        </is>
      </c>
    </row>
    <row r="1588" outlineLevel="1" ht="25" customHeight="1">
      <c r="A1588" s="45" t="inlineStr">
        <is>
          <t>HOW</t>
        </is>
      </c>
      <c r="B1588" s="46" t="inlineStr">
        <is>
          <t>Spinning cups close a reed switch once per rotation; pulse frequency maps linearly to wind speed. ESP32's pulse-counter peripheral reads it with zero CPU load.</t>
        </is>
      </c>
    </row>
    <row r="1589" outlineLevel="1" ht="18" customHeight="1">
      <c r="A1589" s="45" t="inlineStr">
        <is>
          <t>COMMON</t>
        </is>
      </c>
      <c r="B1589" s="46" t="inlineStr">
        <is>
          <t>Weather stations, drone go/no-go checks, sailing dashboards, awning auto-retract.</t>
        </is>
      </c>
    </row>
    <row r="1590" outlineLevel="1" ht="22" customHeight="1">
      <c r="A1590" s="45" t="inlineStr">
        <is>
          <t>INVENTION</t>
        </is>
      </c>
      <c r="B1590" s="48" t="inlineStr">
        <is>
          <t>Awning/umbrella guardian: gust detection retracts the patio awning before the storm arrives — insurance-claim prevention for $12.</t>
        </is>
      </c>
    </row>
    <row r="1591" outlineLevel="1" ht="16" customHeight="1">
      <c r="A1591" s="45" t="inlineStr">
        <is>
          <t>PAIRS</t>
        </is>
      </c>
      <c r="B1591" s="46" t="inlineStr">
        <is>
          <t>Linear actuator/relay, BMP390 pressure-drop storm logic</t>
        </is>
      </c>
    </row>
    <row r="1592" outlineLevel="1" ht="15" customHeight="1">
      <c r="A1592" s="45" t="inlineStr">
        <is>
          <t>KEY</t>
        </is>
      </c>
      <c r="B1592" s="46" t="inlineStr">
        <is>
          <t>~2.4km/h per Hz (typical), 0.5-50 m/s</t>
        </is>
      </c>
    </row>
    <row r="1593" outlineLevel="1" ht="16" customHeight="1">
      <c r="A1593" s="45" t="inlineStr">
        <is>
          <t>buy</t>
        </is>
      </c>
      <c r="B1593" s="49" t="inlineStr">
        <is>
          <t>AE · SF · AMZ · DFR   |   boards: Misol/Fine-offset spares are cheap   |   lib: PCNT / pulseIn   [High]</t>
        </is>
      </c>
    </row>
    <row r="1595" ht="22" customHeight="1">
      <c r="A1595" s="54" t="inlineStr">
        <is>
          <t>S122</t>
        </is>
      </c>
      <c r="B1595" s="55" t="inlineStr">
        <is>
          <t>Wind vane   ·   WH-SP-WD / Davis vane</t>
        </is>
      </c>
    </row>
    <row r="1596" outlineLevel="1" ht="15" customHeight="1">
      <c r="A1596" s="45" t="inlineStr">
        <is>
          <t>Category</t>
        </is>
      </c>
      <c r="B1596" s="12" t="inlineStr">
        <is>
          <t>Weather &amp; Outdoor › Wind direction</t>
        </is>
      </c>
      <c r="E1596" s="45" t="inlineStr">
        <is>
          <t>Measures</t>
        </is>
      </c>
      <c r="F1596" s="12" t="inlineStr">
        <is>
          <t>Wind direction (16 compass points)</t>
        </is>
      </c>
    </row>
    <row r="1597" outlineLevel="1" ht="15" customHeight="1">
      <c r="A1597" s="45" t="inlineStr">
        <is>
          <t>Modality</t>
        </is>
      </c>
      <c r="B1597" s="12" t="inlineStr">
        <is>
          <t>—</t>
        </is>
      </c>
      <c r="E1597" s="45" t="inlineStr">
        <is>
          <t>Interface</t>
        </is>
      </c>
      <c r="F1597" s="12" t="inlineStr">
        <is>
          <t>Analog</t>
        </is>
      </c>
    </row>
    <row r="1598" outlineLevel="1" ht="15" customHeight="1">
      <c r="A1598" s="45" t="inlineStr">
        <is>
          <t>Supply</t>
        </is>
      </c>
      <c r="B1598" s="12" t="inlineStr">
        <is>
          <t>3.3V divider</t>
        </is>
      </c>
      <c r="E1598" s="45" t="inlineStr">
        <is>
          <t>Price</t>
        </is>
      </c>
      <c r="F1598" s="12" t="inlineStr">
        <is>
          <t>$12  ($$)</t>
        </is>
      </c>
    </row>
    <row r="1599" outlineLevel="1" ht="15" customHeight="1">
      <c r="A1599" s="45" t="inlineStr">
        <is>
          <t>Difficulty</t>
        </is>
      </c>
      <c r="B1599" s="12" t="inlineStr">
        <is>
          <t>2 — Easy — breadboard wiring, a well-documented library, no analog thought needed</t>
        </is>
      </c>
    </row>
    <row r="1600" outlineLevel="1" ht="23" customHeight="1">
      <c r="A1600" s="45" t="inlineStr">
        <is>
          <t>HOW</t>
        </is>
      </c>
      <c r="B1600" s="46" t="inlineStr">
        <is>
          <t>A vane rotates a magnet over 8 reed switches with different resistors — each direction yields a distinct resistance your ADC decodes.</t>
        </is>
      </c>
    </row>
    <row r="1601" outlineLevel="1" ht="17" customHeight="1">
      <c r="A1601" s="45" t="inlineStr">
        <is>
          <t>COMMON</t>
        </is>
      </c>
      <c r="B1601" s="46" t="inlineStr">
        <is>
          <t>Weather stations, smoke/odor source triangulation, sailing telemetry.</t>
        </is>
      </c>
    </row>
    <row r="1602" outlineLevel="1" ht="23" customHeight="1">
      <c r="A1602" s="45" t="inlineStr">
        <is>
          <t>INVENTION</t>
        </is>
      </c>
      <c r="B1602" s="48" t="inlineStr">
        <is>
          <t>Pair with your PM sensor: wind direction tags every pollution spike with its bearing — find out exactly which neighbour burns plastic.</t>
        </is>
      </c>
    </row>
    <row r="1603" outlineLevel="1" ht="15" customHeight="1">
      <c r="A1603" s="45" t="inlineStr">
        <is>
          <t>PAIRS</t>
        </is>
      </c>
      <c r="B1603" s="46" t="inlineStr">
        <is>
          <t>PMS5003 + wind = pollution forensics</t>
        </is>
      </c>
    </row>
    <row r="1604" outlineLevel="1" ht="15" customHeight="1">
      <c r="A1604" s="45" t="inlineStr">
        <is>
          <t>KEY</t>
        </is>
      </c>
      <c r="B1604" s="46" t="inlineStr">
        <is>
          <t>16 positions via 8 resistors</t>
        </is>
      </c>
    </row>
    <row r="1605" outlineLevel="1" ht="16" customHeight="1">
      <c r="A1605" s="45" t="inlineStr">
        <is>
          <t>buy</t>
        </is>
      </c>
      <c r="B1605" s="49" t="inlineStr">
        <is>
          <t>AE · SF · AMZ   |   boards: Misol weather-station spares   |   lib: ADC → lookup table   [High]</t>
        </is>
      </c>
    </row>
    <row r="1607" ht="22" customHeight="1">
      <c r="A1607" s="54" t="inlineStr">
        <is>
          <t>S123</t>
        </is>
      </c>
      <c r="B1607" s="55" t="inlineStr">
        <is>
          <t>Tipping bucket rain gauge   ·   WH-SP-RG / Davis</t>
        </is>
      </c>
    </row>
    <row r="1608" outlineLevel="1" ht="15" customHeight="1">
      <c r="A1608" s="45" t="inlineStr">
        <is>
          <t>Category</t>
        </is>
      </c>
      <c r="B1608" s="12" t="inlineStr">
        <is>
          <t>Weather &amp; Outdoor › Rainfall</t>
        </is>
      </c>
      <c r="E1608" s="45" t="inlineStr">
        <is>
          <t>Measures</t>
        </is>
      </c>
      <c r="F1608" s="12" t="inlineStr">
        <is>
          <t>Rainfall in 0.2-0.3mm increments</t>
        </is>
      </c>
    </row>
    <row r="1609" outlineLevel="1" ht="15" customHeight="1">
      <c r="A1609" s="45" t="inlineStr">
        <is>
          <t>Modality</t>
        </is>
      </c>
      <c r="B1609" s="12" t="inlineStr">
        <is>
          <t>—</t>
        </is>
      </c>
      <c r="E1609" s="45" t="inlineStr">
        <is>
          <t>Interface</t>
        </is>
      </c>
      <c r="F1609" s="12" t="inlineStr">
        <is>
          <t>Pulse</t>
        </is>
      </c>
    </row>
    <row r="1610" outlineLevel="1" ht="15" customHeight="1">
      <c r="A1610" s="45" t="inlineStr">
        <is>
          <t>Supply</t>
        </is>
      </c>
      <c r="B1610" s="12" t="inlineStr">
        <is>
          <t>passive switch</t>
        </is>
      </c>
      <c r="E1610" s="45" t="inlineStr">
        <is>
          <t>Price</t>
        </is>
      </c>
      <c r="F1610" s="12" t="inlineStr">
        <is>
          <t>$12  ($$)</t>
        </is>
      </c>
    </row>
    <row r="1611" outlineLevel="1" ht="15" customHeight="1">
      <c r="A1611" s="45" t="inlineStr">
        <is>
          <t>Difficulty</t>
        </is>
      </c>
      <c r="B1611" s="12" t="inlineStr">
        <is>
          <t>1 — Plug and play — Qwiic/STEMMA cable or 3 wires, library example works first time</t>
        </is>
      </c>
    </row>
    <row r="1612" outlineLevel="1" ht="22" customHeight="1">
      <c r="A1612" s="45" t="inlineStr">
        <is>
          <t>HOW</t>
        </is>
      </c>
      <c r="B1612" s="46" t="inlineStr">
        <is>
          <t>Rain fills a tiny see-saw bucket that tips at a calibrated volume, closing a reed switch each tip — count tips, know millimetres.</t>
        </is>
      </c>
    </row>
    <row r="1613" outlineLevel="1" ht="18" customHeight="1">
      <c r="A1613" s="45" t="inlineStr">
        <is>
          <t>COMMON</t>
        </is>
      </c>
      <c r="B1613" s="46" t="inlineStr">
        <is>
          <t>Weather stations, irrigation skip logic, roof-runoff studies, flood context.</t>
        </is>
      </c>
    </row>
    <row r="1614" outlineLevel="1" ht="24" customHeight="1">
      <c r="A1614" s="45" t="inlineStr">
        <is>
          <t>INVENTION</t>
        </is>
      </c>
      <c r="B1614" s="48" t="inlineStr">
        <is>
          <t>'Did the garden get enough?' — rain total automatically subtracts from the irrigation schedule; most sprinkler systems still can't do this honestly.</t>
        </is>
      </c>
    </row>
    <row r="1615" outlineLevel="1" ht="16" customHeight="1">
      <c r="A1615" s="45" t="inlineStr">
        <is>
          <t>PAIRS</t>
        </is>
      </c>
      <c r="B1615" s="46" t="inlineStr">
        <is>
          <t>Soil moisture + valve control = closed-loop watering</t>
        </is>
      </c>
    </row>
    <row r="1616" outlineLevel="1" ht="15" customHeight="1">
      <c r="A1616" s="45" t="inlineStr">
        <is>
          <t>KEY</t>
        </is>
      </c>
      <c r="B1616" s="46" t="inlineStr">
        <is>
          <t>0.2794mm/tip (Misol class)</t>
        </is>
      </c>
    </row>
    <row r="1617" outlineLevel="1" ht="16" customHeight="1">
      <c r="A1617" s="45" t="inlineStr">
        <is>
          <t>buy</t>
        </is>
      </c>
      <c r="B1617" s="49" t="inlineStr">
        <is>
          <t>AE · SF · AMZ   |   boards: Misol spares, Davis 6463 (quality)   |   lib: Interrupt counter + debounce   [High]</t>
        </is>
      </c>
    </row>
    <row r="1619" ht="22" customHeight="1">
      <c r="A1619" s="54" t="inlineStr">
        <is>
          <t>S124</t>
        </is>
      </c>
      <c r="B1619" s="55" t="inlineStr">
        <is>
          <t>AS3935 lightning detector   ·   AS3935</t>
        </is>
      </c>
    </row>
    <row r="1620" outlineLevel="1" ht="15" customHeight="1">
      <c r="A1620" s="45" t="inlineStr">
        <is>
          <t>Category</t>
        </is>
      </c>
      <c r="B1620" s="12" t="inlineStr">
        <is>
          <t>Weather &amp; Outdoor › Lightning</t>
        </is>
      </c>
      <c r="E1620" s="45" t="inlineStr">
        <is>
          <t>Measures</t>
        </is>
      </c>
      <c r="F1620" s="12" t="inlineStr">
        <is>
          <t>Lightning strikes up to 40km away + distance estimate</t>
        </is>
      </c>
    </row>
    <row r="1621" outlineLevel="1" ht="15" customHeight="1">
      <c r="A1621" s="45" t="inlineStr">
        <is>
          <t>Modality</t>
        </is>
      </c>
      <c r="B1621" s="12" t="inlineStr">
        <is>
          <t>—</t>
        </is>
      </c>
      <c r="E1621" s="45" t="inlineStr">
        <is>
          <t>Interface</t>
        </is>
      </c>
      <c r="F1621" s="12" t="inlineStr">
        <is>
          <t>I2C / SPI</t>
        </is>
      </c>
    </row>
    <row r="1622" outlineLevel="1" ht="15" customHeight="1">
      <c r="A1622" s="45" t="inlineStr">
        <is>
          <t>Supply</t>
        </is>
      </c>
      <c r="B1622" s="12" t="inlineStr">
        <is>
          <t>2.4-5.5V</t>
        </is>
      </c>
      <c r="E1622" s="45" t="inlineStr">
        <is>
          <t>Price</t>
        </is>
      </c>
      <c r="F1622" s="12" t="inlineStr">
        <is>
          <t>$20  ($$$)</t>
        </is>
      </c>
    </row>
    <row r="1623" outlineLevel="1" ht="15" customHeight="1">
      <c r="A1623" s="45" t="inlineStr">
        <is>
          <t>Difficulty</t>
        </is>
      </c>
      <c r="B1623" s="12" t="inlineStr">
        <is>
          <t>3 — Some skill — calibration, level shifting, timing, or datasheet reading required</t>
        </is>
      </c>
    </row>
    <row r="1624" outlineLevel="1" ht="25" customHeight="1">
      <c r="A1624" s="45" t="inlineStr">
        <is>
          <t>HOW</t>
        </is>
      </c>
      <c r="B1624" s="46" t="inlineStr">
        <is>
          <t>Listens to the 500kHz radio crackle lightning emits, validates the waveform signature against false positives, and estimates storm distance from signal energy.</t>
        </is>
      </c>
    </row>
    <row r="1625" outlineLevel="1" ht="20" customHeight="1">
      <c r="A1625" s="45" t="inlineStr">
        <is>
          <t>COMMON</t>
        </is>
      </c>
      <c r="B1625" s="46" t="inlineStr">
        <is>
          <t>Storm early warning, pool/sports-field safety sirens, photography lightning triggers, drone recall.</t>
        </is>
      </c>
    </row>
    <row r="1626" outlineLevel="1" ht="51" customHeight="1">
      <c r="A1626" s="45" t="inlineStr">
        <is>
          <t>INVENTION</t>
        </is>
      </c>
      <c r="B1626" s="48" t="inlineStr">
        <is>
          <t>Storm-approach dashboard: log strike rate and estimated distance to watch a cell close in, and drive a pool/sports-field evacuation siren. (For lightning PHOTOGRAPHY the AS3935 is too slow — its interrupt arrives milliseconds after event validation; dedicated optical triggers are what photographers use.) Budget real time for antenna tuning and noise-floor calibration: false triggers from switching supplies and fluorescent lights are the #1 thing that ruins these builds.</t>
        </is>
      </c>
    </row>
    <row r="1627" outlineLevel="1" ht="16" customHeight="1">
      <c r="A1627" s="45" t="inlineStr">
        <is>
          <t>PAIRS</t>
        </is>
      </c>
      <c r="B1627" s="46" t="inlineStr">
        <is>
          <t>Optocoupler shutter trigger, siren relay, LoRa to field</t>
        </is>
      </c>
    </row>
    <row r="1628" outlineLevel="1" ht="15" customHeight="1">
      <c r="A1628" s="45" t="inlineStr">
        <is>
          <t>KEY</t>
        </is>
      </c>
      <c r="B1628" s="46" t="inlineStr">
        <is>
          <t>40km range, leading-edge storm tracking</t>
        </is>
      </c>
    </row>
    <row r="1629" outlineLevel="1" ht="16" customHeight="1">
      <c r="A1629" s="45" t="inlineStr">
        <is>
          <t>buy</t>
        </is>
      </c>
      <c r="B1629" s="49" t="inlineStr">
        <is>
          <t>SF · DFR · AE · DK   |   boards: SparkFun 15441, CJMCU-3935   |   lib: SparkFun AS3935   [High]</t>
        </is>
      </c>
    </row>
    <row r="1631" ht="22" customHeight="1">
      <c r="A1631" s="54" t="inlineStr">
        <is>
          <t>S125</t>
        </is>
      </c>
      <c r="B1631" s="55" t="inlineStr">
        <is>
          <t>ML8511 / VEML6075 UV outdoor   ·   ML8511</t>
        </is>
      </c>
    </row>
    <row r="1632" outlineLevel="1" ht="15" customHeight="1">
      <c r="A1632" s="45" t="inlineStr">
        <is>
          <t>Category</t>
        </is>
      </c>
      <c r="B1632" s="12" t="inlineStr">
        <is>
          <t>Weather &amp; Outdoor › Solar UV</t>
        </is>
      </c>
      <c r="E1632" s="45" t="inlineStr">
        <is>
          <t>Measures</t>
        </is>
      </c>
      <c r="F1632" s="12" t="inlineStr">
        <is>
          <t>UV intensity mW/cm² for weather stations</t>
        </is>
      </c>
    </row>
    <row r="1633" outlineLevel="1" ht="15" customHeight="1">
      <c r="A1633" s="45" t="inlineStr">
        <is>
          <t>Modality</t>
        </is>
      </c>
      <c r="B1633" s="12" t="inlineStr">
        <is>
          <t>—</t>
        </is>
      </c>
      <c r="E1633" s="45" t="inlineStr">
        <is>
          <t>Interface</t>
        </is>
      </c>
      <c r="F1633" s="12" t="inlineStr">
        <is>
          <t>Analog</t>
        </is>
      </c>
    </row>
    <row r="1634" outlineLevel="1" ht="15" customHeight="1">
      <c r="A1634" s="45" t="inlineStr">
        <is>
          <t>Supply</t>
        </is>
      </c>
      <c r="B1634" s="12" t="inlineStr">
        <is>
          <t>3.3V</t>
        </is>
      </c>
      <c r="E1634" s="45" t="inlineStr">
        <is>
          <t>Price</t>
        </is>
      </c>
      <c r="F1634" s="12" t="inlineStr">
        <is>
          <t>$6  ($$)</t>
        </is>
      </c>
    </row>
    <row r="1635" outlineLevel="1" ht="15" customHeight="1">
      <c r="A1635" s="45" t="inlineStr">
        <is>
          <t>Difficulty</t>
        </is>
      </c>
      <c r="B1635" s="12" t="inlineStr">
        <is>
          <t>1 — Plug and play — Qwiic/STEMMA cable or 3 wires, library example works first time</t>
        </is>
      </c>
    </row>
    <row r="1636" outlineLevel="1" ht="20" customHeight="1">
      <c r="A1636" s="45" t="inlineStr">
        <is>
          <t>HOW</t>
        </is>
      </c>
      <c r="B1636" s="46" t="inlineStr">
        <is>
          <t>UV-sensitive photodiode with built-in amplifier outputting analog voltage — the weather-station UV channel.</t>
        </is>
      </c>
    </row>
    <row r="1637" outlineLevel="1" ht="18" customHeight="1">
      <c r="A1637" s="45" t="inlineStr">
        <is>
          <t>COMMON</t>
        </is>
      </c>
      <c r="B1637" s="46" t="inlineStr">
        <is>
          <t>Weather-station UV index, solar-exposure studies for materials/paint fading.</t>
        </is>
      </c>
    </row>
    <row r="1638" outlineLevel="1" ht="23" customHeight="1">
      <c r="A1638" s="45" t="inlineStr">
        <is>
          <t>INVENTION</t>
        </is>
      </c>
      <c r="B1638" s="48" t="inlineStr">
        <is>
          <t>Materials-aging lab on your roof: log cumulative UV dose next to colour samples (TCS34725 reads fading) — quantify what sun does to things.</t>
        </is>
      </c>
    </row>
    <row r="1639" outlineLevel="1" ht="15" customHeight="1">
      <c r="A1639" s="45" t="inlineStr">
        <is>
          <t>PAIRS</t>
        </is>
      </c>
      <c r="B1639" s="46" t="inlineStr">
        <is>
          <t>TCS34725 fade tracking, SD season logs</t>
        </is>
      </c>
    </row>
    <row r="1640" outlineLevel="1" ht="15" customHeight="1">
      <c r="A1640" s="45" t="inlineStr">
        <is>
          <t>KEY</t>
        </is>
      </c>
      <c r="B1640" s="46" t="inlineStr">
        <is>
          <t>280-390nm response</t>
        </is>
      </c>
    </row>
    <row r="1641" outlineLevel="1" ht="16" customHeight="1">
      <c r="A1641" s="45" t="inlineStr">
        <is>
          <t>buy</t>
        </is>
      </c>
      <c r="B1641" s="49" t="inlineStr">
        <is>
          <t>AE · SF · DK   |   boards: GY-8511   |   lib: analogRead + slope   [High]</t>
        </is>
      </c>
    </row>
    <row r="1643" ht="22" customHeight="1">
      <c r="A1643" s="54" t="inlineStr">
        <is>
          <t>S126</t>
        </is>
      </c>
      <c r="B1643" s="55" t="inlineStr">
        <is>
          <t>Snow/level laser (outdoor ToF)   ·   TF02-Pro / TF350</t>
        </is>
      </c>
    </row>
    <row r="1644" outlineLevel="1" ht="15" customHeight="1">
      <c r="A1644" s="45" t="inlineStr">
        <is>
          <t>Category</t>
        </is>
      </c>
      <c r="B1644" s="12" t="inlineStr">
        <is>
          <t>Weather &amp; Outdoor › Snow &amp; levels</t>
        </is>
      </c>
      <c r="E1644" s="45" t="inlineStr">
        <is>
          <t>Measures</t>
        </is>
      </c>
      <c r="F1644" s="12" t="inlineStr">
        <is>
          <t>Distance to 40m outdoors (sunlight-tolerant)</t>
        </is>
      </c>
    </row>
    <row r="1645" outlineLevel="1" ht="15" customHeight="1">
      <c r="A1645" s="45" t="inlineStr">
        <is>
          <t>Modality</t>
        </is>
      </c>
      <c r="B1645" s="12" t="inlineStr">
        <is>
          <t>—</t>
        </is>
      </c>
      <c r="E1645" s="45" t="inlineStr">
        <is>
          <t>Interface</t>
        </is>
      </c>
      <c r="F1645" s="12" t="inlineStr">
        <is>
          <t>CAN / UART</t>
        </is>
      </c>
    </row>
    <row r="1646" outlineLevel="1" ht="15" customHeight="1">
      <c r="A1646" s="45" t="inlineStr">
        <is>
          <t>Supply</t>
        </is>
      </c>
      <c r="B1646" s="12" t="inlineStr">
        <is>
          <t>5-12V</t>
        </is>
      </c>
      <c r="E1646" s="45" t="inlineStr">
        <is>
          <t>Price</t>
        </is>
      </c>
      <c r="F1646" s="12" t="inlineStr">
        <is>
          <t>$70  ($$$$)</t>
        </is>
      </c>
    </row>
    <row r="1647" outlineLevel="1" ht="15" customHeight="1">
      <c r="A1647" s="45" t="inlineStr">
        <is>
          <t>Difficulty</t>
        </is>
      </c>
      <c r="B1647" s="12" t="inlineStr">
        <is>
          <t>2 — Easy — breadboard wiring, a well-documented library, no analog thought needed</t>
        </is>
      </c>
    </row>
    <row r="1648" outlineLevel="1" ht="23" customHeight="1">
      <c r="A1648" s="45" t="inlineStr">
        <is>
          <t>HOW</t>
        </is>
      </c>
      <c r="B1648" s="46" t="inlineStr">
        <is>
          <t>Industrial-grade LiDAR with sunlight rejection and IP65 housing — points down at ground/water/snow and tracks surface height through seasons.</t>
        </is>
      </c>
    </row>
    <row r="1649" outlineLevel="1" ht="18" customHeight="1">
      <c r="A1649" s="45" t="inlineStr">
        <is>
          <t>COMMON</t>
        </is>
      </c>
      <c r="B1649" s="46" t="inlineStr">
        <is>
          <t>Snow depth stations, river/flood gauges, grain silos, avalanche study plots.</t>
        </is>
      </c>
    </row>
    <row r="1650" outlineLevel="1" ht="22" customHeight="1">
      <c r="A1650" s="45" t="inlineStr">
        <is>
          <t>INVENTION</t>
        </is>
      </c>
      <c r="B1650" s="48" t="inlineStr">
        <is>
          <t>A ski-field community snow telemetry net: hourly snow depth from 5 spots, public dashboard — locals love it, resorts license it.</t>
        </is>
      </c>
    </row>
    <row r="1651" outlineLevel="1" ht="15" customHeight="1">
      <c r="A1651" s="45" t="inlineStr">
        <is>
          <t>PAIRS</t>
        </is>
      </c>
      <c r="B1651" s="46" t="inlineStr">
        <is>
          <t>Solar + LoRa, temp/RH for snow density context</t>
        </is>
      </c>
    </row>
    <row r="1652" outlineLevel="1" ht="15" customHeight="1">
      <c r="A1652" s="45" t="inlineStr">
        <is>
          <t>KEY</t>
        </is>
      </c>
      <c r="B1652" s="46" t="inlineStr">
        <is>
          <t>0.1-40m, ±5cm, IP65</t>
        </is>
      </c>
    </row>
    <row r="1653" outlineLevel="1" ht="16" customHeight="1">
      <c r="A1653" s="45" t="inlineStr">
        <is>
          <t>buy</t>
        </is>
      </c>
      <c r="B1653" s="49" t="inlineStr">
        <is>
          <t>AE · DK · DFR   |   boards: Benewake TF02-Pro   |   lib: UART parse   [High]</t>
        </is>
      </c>
    </row>
    <row r="1655" ht="22" customHeight="1">
      <c r="A1655" s="54" t="inlineStr">
        <is>
          <t>S127</t>
        </is>
      </c>
      <c r="B1655" s="55" t="inlineStr">
        <is>
          <t>Leaf wetness sensor   ·   DFRobot SEN0526 class</t>
        </is>
      </c>
    </row>
    <row r="1656" outlineLevel="1" ht="15" customHeight="1">
      <c r="A1656" s="45" t="inlineStr">
        <is>
          <t>Category</t>
        </is>
      </c>
      <c r="B1656" s="12" t="inlineStr">
        <is>
          <t>Weather &amp; Outdoor › Plant disease context</t>
        </is>
      </c>
      <c r="E1656" s="45" t="inlineStr">
        <is>
          <t>Measures</t>
        </is>
      </c>
      <c r="F1656" s="12" t="inlineStr">
        <is>
          <t>Moisture film on leaf surfaces</t>
        </is>
      </c>
    </row>
    <row r="1657" outlineLevel="1" ht="15" customHeight="1">
      <c r="A1657" s="45" t="inlineStr">
        <is>
          <t>Modality</t>
        </is>
      </c>
      <c r="B1657" s="12" t="inlineStr">
        <is>
          <t>—</t>
        </is>
      </c>
      <c r="E1657" s="45" t="inlineStr">
        <is>
          <t>Interface</t>
        </is>
      </c>
      <c r="F1657" s="12" t="inlineStr">
        <is>
          <t>RS-485 / Analog</t>
        </is>
      </c>
    </row>
    <row r="1658" outlineLevel="1" ht="15" customHeight="1">
      <c r="A1658" s="45" t="inlineStr">
        <is>
          <t>Supply</t>
        </is>
      </c>
      <c r="B1658" s="12" t="inlineStr">
        <is>
          <t>3.3-5V</t>
        </is>
      </c>
      <c r="E1658" s="45" t="inlineStr">
        <is>
          <t>Price</t>
        </is>
      </c>
      <c r="F1658" s="12" t="inlineStr">
        <is>
          <t>$15  ($$$)</t>
        </is>
      </c>
    </row>
    <row r="1659" outlineLevel="1" ht="15" customHeight="1">
      <c r="A1659" s="45" t="inlineStr">
        <is>
          <t>Difficulty</t>
        </is>
      </c>
      <c r="B1659" s="12" t="inlineStr">
        <is>
          <t>1 — Plug and play — Qwiic/STEMMA cable or 3 wires, library example works first time</t>
        </is>
      </c>
    </row>
    <row r="1660" outlineLevel="1" ht="23" customHeight="1">
      <c r="A1660" s="45" t="inlineStr">
        <is>
          <t>HOW</t>
        </is>
      </c>
      <c r="B1660" s="46" t="inlineStr">
        <is>
          <t>A leaf-shaped capacitive board senses the water film that fungal spores need to germinate — the key input for plant-disease prediction models.</t>
        </is>
      </c>
    </row>
    <row r="1661" outlineLevel="1" ht="20" customHeight="1">
      <c r="A1661" s="45" t="inlineStr">
        <is>
          <t>COMMON</t>
        </is>
      </c>
      <c r="B1661" s="46" t="inlineStr">
        <is>
          <t>Vineyard/orchard disease models (mildew hours), greenhouse fog control, spray-timing optimisation.</t>
        </is>
      </c>
    </row>
    <row r="1662" outlineLevel="1" ht="23" customHeight="1">
      <c r="A1662" s="45" t="inlineStr">
        <is>
          <t>INVENTION</t>
        </is>
      </c>
      <c r="B1662" s="48" t="inlineStr">
        <is>
          <t>A backyard vineyard 'mildew-hours' tracker that tells you the exact optimal (minimal) spray days — the model pros pay agronomists for.</t>
        </is>
      </c>
    </row>
    <row r="1663" outlineLevel="1" ht="16" customHeight="1">
      <c r="A1663" s="45" t="inlineStr">
        <is>
          <t>PAIRS</t>
        </is>
      </c>
      <c r="B1663" s="46" t="inlineStr">
        <is>
          <t>SHT35 + rain gauge = full disease-pressure station</t>
        </is>
      </c>
    </row>
    <row r="1664" outlineLevel="1" ht="15" customHeight="1">
      <c r="A1664" s="45" t="inlineStr">
        <is>
          <t>KEY</t>
        </is>
      </c>
      <c r="B1664" s="46" t="inlineStr">
        <is>
          <t>Dimensionless wetness 0-100</t>
        </is>
      </c>
    </row>
    <row r="1665" outlineLevel="1" ht="16" customHeight="1">
      <c r="A1665" s="45" t="inlineStr">
        <is>
          <t>buy</t>
        </is>
      </c>
      <c r="B1665" s="49" t="inlineStr">
        <is>
          <t>DFR · AE · DK   |   boards: DFRobot Gravity leaf wetness   |   lib: analogRead   [High]</t>
        </is>
      </c>
    </row>
    <row r="1667" ht="22" customHeight="1">
      <c r="A1667" s="54" t="inlineStr">
        <is>
          <t>S128</t>
        </is>
      </c>
      <c r="B1667" s="55" t="inlineStr">
        <is>
          <t>Pyranometer (solar irradiance)   ·   DFRobot SEN0562 (Gravity)</t>
        </is>
      </c>
    </row>
    <row r="1668" outlineLevel="1" ht="15" customHeight="1">
      <c r="A1668" s="45" t="inlineStr">
        <is>
          <t>Category</t>
        </is>
      </c>
      <c r="B1668" s="12" t="inlineStr">
        <is>
          <t>Weather &amp; Outdoor › Solar energy</t>
        </is>
      </c>
      <c r="E1668" s="45" t="inlineStr">
        <is>
          <t>Measures</t>
        </is>
      </c>
      <c r="F1668" s="12" t="inlineStr">
        <is>
          <t>Total solar power hitting a surface (W/m²)</t>
        </is>
      </c>
    </row>
    <row r="1669" outlineLevel="1" ht="15" customHeight="1">
      <c r="A1669" s="45" t="inlineStr">
        <is>
          <t>Modality</t>
        </is>
      </c>
      <c r="B1669" s="12" t="inlineStr">
        <is>
          <t>—</t>
        </is>
      </c>
      <c r="E1669" s="45" t="inlineStr">
        <is>
          <t>Interface</t>
        </is>
      </c>
      <c r="F1669" s="12" t="inlineStr">
        <is>
          <t>I2C / RS-485 / Analog</t>
        </is>
      </c>
    </row>
    <row r="1670" outlineLevel="1" ht="15" customHeight="1">
      <c r="A1670" s="45" t="inlineStr">
        <is>
          <t>Supply</t>
        </is>
      </c>
      <c r="B1670" s="12" t="inlineStr">
        <is>
          <t>3.3-5V</t>
        </is>
      </c>
      <c r="E1670" s="45" t="inlineStr">
        <is>
          <t>Price</t>
        </is>
      </c>
      <c r="F1670" s="12" t="inlineStr">
        <is>
          <t>$60  ($$$$)</t>
        </is>
      </c>
    </row>
    <row r="1671" outlineLevel="1" ht="15" customHeight="1">
      <c r="A1671" s="45" t="inlineStr">
        <is>
          <t>Difficulty</t>
        </is>
      </c>
      <c r="B1671" s="12" t="inlineStr">
        <is>
          <t>2 — Easy — breadboard wiring, a well-documented library, no analog thought needed</t>
        </is>
      </c>
    </row>
    <row r="1672" outlineLevel="1" ht="25" customHeight="1">
      <c r="A1672" s="45" t="inlineStr">
        <is>
          <t>HOW</t>
        </is>
      </c>
      <c r="B1672" s="46" t="inlineStr">
        <is>
          <t>A thermopile or calibrated silicon cell under a dome integrates ALL sunlight wavelengths — the number solar installers and farmers actually need (lux is not it).</t>
        </is>
      </c>
    </row>
    <row r="1673" outlineLevel="1" ht="19" customHeight="1">
      <c r="A1673" s="45" t="inlineStr">
        <is>
          <t>COMMON</t>
        </is>
      </c>
      <c r="B1673" s="46" t="inlineStr">
        <is>
          <t>Solar-panel performance auditing, agriculture light integrals (DLI), climate stations.</t>
        </is>
      </c>
    </row>
    <row r="1674" outlineLevel="1" ht="23" customHeight="1">
      <c r="A1674" s="45" t="inlineStr">
        <is>
          <t>INVENTION</t>
        </is>
      </c>
      <c r="B1674" s="48" t="inlineStr">
        <is>
          <t>Panel health auditor: compare actual array output vs measured irradiance — quantifies dirt, shading and degradation in dollars per month.</t>
        </is>
      </c>
    </row>
    <row r="1675" outlineLevel="1" ht="15" customHeight="1">
      <c r="A1675" s="45" t="inlineStr">
        <is>
          <t>PAIRS</t>
        </is>
      </c>
      <c r="B1675" s="46" t="inlineStr">
        <is>
          <t>INA226 on panel output, weather context sensors</t>
        </is>
      </c>
    </row>
    <row r="1676" outlineLevel="1" ht="15" customHeight="1">
      <c r="A1676" s="45" t="inlineStr">
        <is>
          <t>KEY</t>
        </is>
      </c>
      <c r="B1676" s="46" t="inlineStr">
        <is>
          <t>0-1800W/m²; silicon-cell class ±5%</t>
        </is>
      </c>
    </row>
    <row r="1677" outlineLevel="1" ht="16" customHeight="1">
      <c r="A1677" s="45" t="inlineStr">
        <is>
          <t>buy</t>
        </is>
      </c>
      <c r="B1677" s="49" t="inlineStr">
        <is>
          <t>DFR · DK · AP   |   boards: DFRobot Gravity SEN0562. Step up: Apogee SP-110 (~$225) or SP-510 for research-grade work — same measurement, an order of magnitude better traceability.   |   lib: analogRead/Modbus   [High]</t>
        </is>
      </c>
    </row>
    <row r="1679" ht="22" customHeight="1">
      <c r="A1679" s="68" t="inlineStr">
        <is>
          <t>S129</t>
        </is>
      </c>
      <c r="B1679" s="69" t="inlineStr">
        <is>
          <t>Capacitive soil moisture v2   ·   Capacitive Soil v1.2/2.0</t>
        </is>
      </c>
    </row>
    <row r="1680" outlineLevel="1" ht="15" customHeight="1">
      <c r="A1680" s="45" t="inlineStr">
        <is>
          <t>Category</t>
        </is>
      </c>
      <c r="B1680" s="12" t="inlineStr">
        <is>
          <t>Soil &amp; Agriculture › Soil moisture</t>
        </is>
      </c>
      <c r="E1680" s="45" t="inlineStr">
        <is>
          <t>Measures</t>
        </is>
      </c>
      <c r="F1680" s="12" t="inlineStr">
        <is>
          <t>Volumetric soil water (relative)</t>
        </is>
      </c>
    </row>
    <row r="1681" outlineLevel="1" ht="15" customHeight="1">
      <c r="A1681" s="45" t="inlineStr">
        <is>
          <t>Modality</t>
        </is>
      </c>
      <c r="B1681" s="12" t="inlineStr">
        <is>
          <t>Electrical</t>
        </is>
      </c>
      <c r="E1681" s="45" t="inlineStr">
        <is>
          <t>Interface</t>
        </is>
      </c>
      <c r="F1681" s="12" t="inlineStr">
        <is>
          <t>Analog</t>
        </is>
      </c>
    </row>
    <row r="1682" outlineLevel="1" ht="15" customHeight="1">
      <c r="A1682" s="45" t="inlineStr">
        <is>
          <t>Supply</t>
        </is>
      </c>
      <c r="B1682" s="12" t="inlineStr">
        <is>
          <t>3.3-5V</t>
        </is>
      </c>
      <c r="E1682" s="45" t="inlineStr">
        <is>
          <t>Price</t>
        </is>
      </c>
      <c r="F1682" s="12" t="inlineStr">
        <is>
          <t>$2  ($)</t>
        </is>
      </c>
    </row>
    <row r="1683" outlineLevel="1" ht="15" customHeight="1">
      <c r="A1683" s="45" t="inlineStr">
        <is>
          <t>Difficulty</t>
        </is>
      </c>
      <c r="B1683" s="12" t="inlineStr">
        <is>
          <t>1 — Plug and play — Qwiic/STEMMA cable or 3 wires, library example works first time</t>
        </is>
      </c>
    </row>
    <row r="1684" outlineLevel="1" ht="24" customHeight="1">
      <c r="A1684" s="45" t="inlineStr">
        <is>
          <t>HOW</t>
        </is>
      </c>
      <c r="B1684" s="46" t="inlineStr">
        <is>
          <t>Measures the soil's dielectric constant capacitively through a coated PCB — unlike cheap resistive forks, no exposed metal to corrode away in weeks.</t>
        </is>
      </c>
    </row>
    <row r="1685" outlineLevel="1" ht="57" customHeight="1">
      <c r="A1685" s="45" t="inlineStr">
        <is>
          <t>WHAT</t>
        </is>
      </c>
      <c r="B1685" s="47" t="inlineStr">
        <is>
          <t>It responds to the soil's dielectric constant, which varies with soil TYPE and compaction as much as with water — so a reading calibrated in potting compost is meaningless in clay. The exposed top of the board is not sealed on most clones: water wicks up, reaches the electronics and kills it within a season unless you seal it yourself. Board quality varies wildly, including versions with the wrong oscillator components that barely respond at all. Air gaps around the probe from repeated drying cause step changes that look like watering events.</t>
        </is>
      </c>
    </row>
    <row r="1686" outlineLevel="1" ht="19" customHeight="1">
      <c r="A1686" s="45" t="inlineStr">
        <is>
          <t>COMMON</t>
        </is>
      </c>
      <c r="B1686" s="46" t="inlineStr">
        <is>
          <t>Plant waterers, irrigation triggers, greenhouse zones, 'plant tweets when thirsty' classics.</t>
        </is>
      </c>
    </row>
    <row r="1687" outlineLevel="1" ht="23" customHeight="1">
      <c r="A1687" s="45" t="inlineStr">
        <is>
          <t>INVENTION</t>
        </is>
      </c>
      <c r="B1687" s="48" t="inlineStr">
        <is>
          <t>Per-pot learning: log moisture decay curves per plant — the slope IS the plant's drinking rate, revealing health changes before leaves show it.</t>
        </is>
      </c>
    </row>
    <row r="1688" outlineLevel="1" ht="18" customHeight="1">
      <c r="A1688" s="45" t="inlineStr">
        <is>
          <t>REQUIRES</t>
        </is>
      </c>
      <c r="B1688" s="46" t="inlineStr">
        <is>
          <t>Sealing the top of the board; per-soil two-point calibration (air and saturated)</t>
        </is>
      </c>
    </row>
    <row r="1689" outlineLevel="1" ht="19" customHeight="1">
      <c r="A1689" s="45" t="inlineStr">
        <is>
          <t>SUBSTITUT</t>
        </is>
      </c>
      <c r="B1689" s="46" t="inlineStr">
        <is>
          <t>The metric agronomists actually use: Watermark tension sensor. Research-grade: METER TEROS 12.</t>
        </is>
      </c>
    </row>
    <row r="1690" outlineLevel="1" ht="16" customHeight="1">
      <c r="A1690" s="45" t="inlineStr">
        <is>
          <t>PAIRS</t>
        </is>
      </c>
      <c r="B1690" s="46" t="inlineStr">
        <is>
          <t>Peristaltic pump + driver, deep sleep solar node</t>
        </is>
      </c>
    </row>
    <row r="1691" outlineLevel="1" ht="17" customHeight="1">
      <c r="A1691" s="45" t="inlineStr">
        <is>
          <t>KEY</t>
        </is>
      </c>
      <c r="B1691" s="46" t="inlineStr">
        <is>
          <t>Needs per-soil calibration (air/water endpoints); seal the top!</t>
        </is>
      </c>
    </row>
    <row r="1692" outlineLevel="1" ht="29" customHeight="1">
      <c r="A1692" s="45" t="inlineStr">
        <is>
          <t>specs</t>
        </is>
      </c>
      <c r="B1692" s="49" t="inlineStr">
        <is>
          <t>Range: Relative, 0-100% of your own calibration   Accuracy: Uncalibrated across soil types   Calibration: Two-point   Environment: Outdoor   Lifecycle: Clone-risk   Maturity: Good   ESP32: Use ADC1; power it from a GPIO so it is not energised between readings</t>
        </is>
      </c>
    </row>
    <row r="1693" outlineLevel="1" ht="16" customHeight="1">
      <c r="A1693" s="45" t="inlineStr">
        <is>
          <t>buy</t>
        </is>
      </c>
      <c r="B1693" s="49" t="inlineStr">
        <is>
          <t>AE · AMZ · DFR · CE   |   boards: v1.2 boards everywhere (quality varies — buy 5)   |   lib: analogRead + map()   [High, 2026-07]</t>
        </is>
      </c>
    </row>
    <row r="1694" outlineLevel="1" ht="30" customHeight="1">
      <c r="A1694" s="50" t="inlineStr">
        <is>
          <t>unlocks</t>
        </is>
      </c>
      <c r="B1694" s="51" t="inlineStr">
        <is>
          <t>Does this plant need water?  •  How wet is this material?  •  How hard must roots work to get water?</t>
        </is>
      </c>
    </row>
    <row r="1696" ht="22" customHeight="1">
      <c r="A1696" s="54" t="inlineStr">
        <is>
          <t>S130</t>
        </is>
      </c>
      <c r="B1696" s="55" t="inlineStr">
        <is>
          <t>RS-485 soil NPK/EC probe   ·   JXCT 7-in-1 soil probe</t>
        </is>
      </c>
    </row>
    <row r="1697" outlineLevel="1" ht="15" customHeight="1">
      <c r="A1697" s="45" t="inlineStr">
        <is>
          <t>Category</t>
        </is>
      </c>
      <c r="B1697" s="12" t="inlineStr">
        <is>
          <t>Soil &amp; Agriculture › Soil chemistry</t>
        </is>
      </c>
      <c r="E1697" s="45" t="inlineStr">
        <is>
          <t>Measures</t>
        </is>
      </c>
      <c r="F1697" s="12" t="inlineStr">
        <is>
          <t>Soil N-P-K, EC, pH, moisture, temp (claims vary!)</t>
        </is>
      </c>
    </row>
    <row r="1698" outlineLevel="1" ht="15" customHeight="1">
      <c r="A1698" s="45" t="inlineStr">
        <is>
          <t>Modality</t>
        </is>
      </c>
      <c r="B1698" s="12" t="inlineStr">
        <is>
          <t>—</t>
        </is>
      </c>
      <c r="E1698" s="45" t="inlineStr">
        <is>
          <t>Interface</t>
        </is>
      </c>
      <c r="F1698" s="12" t="inlineStr">
        <is>
          <t>RS-485</t>
        </is>
      </c>
    </row>
    <row r="1699" outlineLevel="1" ht="15" customHeight="1">
      <c r="A1699" s="45" t="inlineStr">
        <is>
          <t>Supply</t>
        </is>
      </c>
      <c r="B1699" s="12" t="inlineStr">
        <is>
          <t>5-30V</t>
        </is>
      </c>
      <c r="E1699" s="45" t="inlineStr">
        <is>
          <t>Price</t>
        </is>
      </c>
      <c r="F1699" s="12" t="inlineStr">
        <is>
          <t>$40  ($$$)</t>
        </is>
      </c>
    </row>
    <row r="1700" outlineLevel="1" ht="15" customHeight="1">
      <c r="A1700" s="45" t="inlineStr">
        <is>
          <t>Difficulty</t>
        </is>
      </c>
      <c r="B1700" s="12" t="inlineStr">
        <is>
          <t>3 — Some skill — calibration, level shifting, timing, or datasheet reading required</t>
        </is>
      </c>
    </row>
    <row r="1701" outlineLevel="1" ht="26" customHeight="1">
      <c r="A1701" s="45" t="inlineStr">
        <is>
          <t>HOW</t>
        </is>
      </c>
      <c r="B1701" s="46" t="inlineStr">
        <is>
          <t>Buried electrode array measures conductivity and ion-selective responses, streamed over industrial RS-485 Modbus. NPK numbers are EC-derived estimates — treat as trends.</t>
        </is>
      </c>
    </row>
    <row r="1702" outlineLevel="1" ht="18" customHeight="1">
      <c r="A1702" s="45" t="inlineStr">
        <is>
          <t>COMMON</t>
        </is>
      </c>
      <c r="B1702" s="46" t="inlineStr">
        <is>
          <t>Field nutrient trending, fertiliser timing, soil-science teaching, farm dashboards.</t>
        </is>
      </c>
    </row>
    <row r="1703" outlineLevel="1" ht="22" customHeight="1">
      <c r="A1703" s="45" t="inlineStr">
        <is>
          <t>INVENTION</t>
        </is>
      </c>
      <c r="B1703" s="48" t="inlineStr">
        <is>
          <t>A rental 'soil report' service for community gardens: walk the plots monthly, map EC/pH/moisture onto a shared garden map.</t>
        </is>
      </c>
    </row>
    <row r="1704" outlineLevel="1" ht="15" customHeight="1">
      <c r="A1704" s="45" t="inlineStr">
        <is>
          <t>PAIRS</t>
        </is>
      </c>
      <c r="B1704" s="46" t="inlineStr">
        <is>
          <t>MAX485 + ESP32, GPS for geotagged samples</t>
        </is>
      </c>
    </row>
    <row r="1705" outlineLevel="1" ht="16" customHeight="1">
      <c r="A1705" s="45" t="inlineStr">
        <is>
          <t>KEY</t>
        </is>
      </c>
      <c r="B1705" s="46" t="inlineStr">
        <is>
          <t>Sealed epoxy probe; calibration honesty varies by seller</t>
        </is>
      </c>
    </row>
    <row r="1706" outlineLevel="1" ht="16" customHeight="1">
      <c r="A1706" s="45" t="inlineStr">
        <is>
          <t>buy</t>
        </is>
      </c>
      <c r="B1706" s="49" t="inlineStr">
        <is>
          <t>AE · AMZ   |   boards: JXCT/ComWinTop probes + MAX485 module   |   lib: ModbusMaster   [High]</t>
        </is>
      </c>
    </row>
    <row r="1708" ht="22" customHeight="1">
      <c r="A1708" s="54" t="inlineStr">
        <is>
          <t>S131</t>
        </is>
      </c>
      <c r="B1708" s="55" t="inlineStr">
        <is>
          <t>Chirp! plant sensor   ·   Chirp / I2C soil sensor</t>
        </is>
      </c>
    </row>
    <row r="1709" outlineLevel="1" ht="15" customHeight="1">
      <c r="A1709" s="45" t="inlineStr">
        <is>
          <t>Category</t>
        </is>
      </c>
      <c r="B1709" s="12" t="inlineStr">
        <is>
          <t>Soil &amp; Agriculture › Soil moisture</t>
        </is>
      </c>
      <c r="E1709" s="45" t="inlineStr">
        <is>
          <t>Measures</t>
        </is>
      </c>
      <c r="F1709" s="12" t="inlineStr">
        <is>
          <t>Capacitive moisture + light + temp on one stake</t>
        </is>
      </c>
    </row>
    <row r="1710" outlineLevel="1" ht="15" customHeight="1">
      <c r="A1710" s="45" t="inlineStr">
        <is>
          <t>Modality</t>
        </is>
      </c>
      <c r="B1710" s="12" t="inlineStr">
        <is>
          <t>—</t>
        </is>
      </c>
      <c r="E1710" s="45" t="inlineStr">
        <is>
          <t>Interface</t>
        </is>
      </c>
      <c r="F1710" s="12" t="inlineStr">
        <is>
          <t>I2C</t>
        </is>
      </c>
    </row>
    <row r="1711" outlineLevel="1" ht="15" customHeight="1">
      <c r="A1711" s="45" t="inlineStr">
        <is>
          <t>Supply</t>
        </is>
      </c>
      <c r="B1711" s="12" t="inlineStr">
        <is>
          <t>3.3-5V</t>
        </is>
      </c>
      <c r="E1711" s="45" t="inlineStr">
        <is>
          <t>Price</t>
        </is>
      </c>
      <c r="F1711" s="12" t="inlineStr">
        <is>
          <t>$10  ($$)</t>
        </is>
      </c>
    </row>
    <row r="1712" outlineLevel="1" ht="15" customHeight="1">
      <c r="A1712" s="45" t="inlineStr">
        <is>
          <t>Difficulty</t>
        </is>
      </c>
      <c r="B1712" s="12" t="inlineStr">
        <is>
          <t>1 — Plug and play — Qwiic/STEMMA cable or 3 wires, library example works first time</t>
        </is>
      </c>
    </row>
    <row r="1713" outlineLevel="1" ht="22" customHeight="1">
      <c r="A1713" s="45" t="inlineStr">
        <is>
          <t>HOW</t>
        </is>
      </c>
      <c r="B1713" s="46" t="inlineStr">
        <is>
          <t>Open-source garden stake combining capacitive soil sensing with light and temperature on I2C — a tidy one-plug plant monitor.</t>
        </is>
      </c>
    </row>
    <row r="1714" outlineLevel="1" ht="18" customHeight="1">
      <c r="A1714" s="45" t="inlineStr">
        <is>
          <t>COMMON</t>
        </is>
      </c>
      <c r="B1714" s="46" t="inlineStr">
        <is>
          <t>Houseplant fleets, classroom botany, succulent-vs-fern watering science.</t>
        </is>
      </c>
    </row>
    <row r="1715" outlineLevel="1" ht="20" customHeight="1">
      <c r="A1715" s="45" t="inlineStr">
        <is>
          <t>INVENTION</t>
        </is>
      </c>
      <c r="B1715" s="48" t="inlineStr">
        <is>
          <t>A windowsill of plants that share one dashboard and politely queue their watering requests by urgency.</t>
        </is>
      </c>
    </row>
    <row r="1716" outlineLevel="1" ht="15" customHeight="1">
      <c r="A1716" s="45" t="inlineStr">
        <is>
          <t>PAIRS</t>
        </is>
      </c>
      <c r="B1716" s="46" t="inlineStr">
        <is>
          <t>ESP-NOW plant mesh, ePaper 'plant mood' faces</t>
        </is>
      </c>
    </row>
    <row r="1717" outlineLevel="1" ht="15" customHeight="1">
      <c r="A1717" s="45" t="inlineStr">
        <is>
          <t>KEY</t>
        </is>
      </c>
      <c r="B1717" s="46" t="inlineStr">
        <is>
          <t>Open hardware (Catnip electronics lineage)</t>
        </is>
      </c>
    </row>
    <row r="1718" outlineLevel="1" ht="16" customHeight="1">
      <c r="A1718" s="45" t="inlineStr">
        <is>
          <t>buy</t>
        </is>
      </c>
      <c r="B1718" s="49" t="inlineStr">
        <is>
          <t>TIN · AE   |   boards: Chirp stake   |   lib: I2CSoilMoistureSensor   [High]</t>
        </is>
      </c>
    </row>
    <row r="1720" ht="22" customHeight="1">
      <c r="A1720" s="54" t="inlineStr">
        <is>
          <t>S132</t>
        </is>
      </c>
      <c r="B1720" s="55" t="inlineStr">
        <is>
          <t>DS18B20 soil temp spear   ·   DS18B20 in steel spear</t>
        </is>
      </c>
    </row>
    <row r="1721" outlineLevel="1" ht="15" customHeight="1">
      <c r="A1721" s="45" t="inlineStr">
        <is>
          <t>Category</t>
        </is>
      </c>
      <c r="B1721" s="12" t="inlineStr">
        <is>
          <t>Soil &amp; Agriculture › Soil temperature</t>
        </is>
      </c>
      <c r="E1721" s="45" t="inlineStr">
        <is>
          <t>Measures</t>
        </is>
      </c>
      <c r="F1721" s="12" t="inlineStr">
        <is>
          <t>Soil temperature at root depth</t>
        </is>
      </c>
    </row>
    <row r="1722" outlineLevel="1" ht="15" customHeight="1">
      <c r="A1722" s="45" t="inlineStr">
        <is>
          <t>Modality</t>
        </is>
      </c>
      <c r="B1722" s="12" t="inlineStr">
        <is>
          <t>—</t>
        </is>
      </c>
      <c r="E1722" s="45" t="inlineStr">
        <is>
          <t>Interface</t>
        </is>
      </c>
      <c r="F1722" s="12" t="inlineStr">
        <is>
          <t>1-Wire</t>
        </is>
      </c>
    </row>
    <row r="1723" outlineLevel="1" ht="15" customHeight="1">
      <c r="A1723" s="45" t="inlineStr">
        <is>
          <t>Supply</t>
        </is>
      </c>
      <c r="B1723" s="12" t="inlineStr">
        <is>
          <t>3.3-5V</t>
        </is>
      </c>
      <c r="E1723" s="45" t="inlineStr">
        <is>
          <t>Price</t>
        </is>
      </c>
      <c r="F1723" s="12" t="inlineStr">
        <is>
          <t>$5  ($$)</t>
        </is>
      </c>
    </row>
    <row r="1724" outlineLevel="1" ht="15" customHeight="1">
      <c r="A1724" s="45" t="inlineStr">
        <is>
          <t>Difficulty</t>
        </is>
      </c>
      <c r="B1724" s="12" t="inlineStr">
        <is>
          <t>1 — Plug and play — Qwiic/STEMMA cable or 3 wires, library example works first time</t>
        </is>
      </c>
    </row>
    <row r="1725" outlineLevel="1" ht="23" customHeight="1">
      <c r="A1725" s="45" t="inlineStr">
        <is>
          <t>HOW</t>
        </is>
      </c>
      <c r="B1725" s="46" t="inlineStr">
        <is>
          <t>The waterproof DS18B20 in a soil spike — soil temp gates germination, microbial activity and planting dates more than air temp does.</t>
        </is>
      </c>
    </row>
    <row r="1726" outlineLevel="1" ht="19" customHeight="1">
      <c r="A1726" s="45" t="inlineStr">
        <is>
          <t>COMMON</t>
        </is>
      </c>
      <c r="B1726" s="46" t="inlineStr">
        <is>
          <t>Seed-starting timing, compost core monitoring, frost-risk modelling, permafrost-style studies.</t>
        </is>
      </c>
    </row>
    <row r="1727" outlineLevel="1" ht="22" customHeight="1">
      <c r="A1727" s="45" t="inlineStr">
        <is>
          <t>INVENTION</t>
        </is>
      </c>
      <c r="B1727" s="48" t="inlineStr">
        <is>
          <t>A 'plant now' oracle: 7-day soil temp rolling average vs crop germination tables — texts you the right weekend per vegetable.</t>
        </is>
      </c>
    </row>
    <row r="1728" outlineLevel="1" ht="15" customHeight="1">
      <c r="A1728" s="45" t="inlineStr">
        <is>
          <t>PAIRS</t>
        </is>
      </c>
      <c r="B1728" s="46" t="inlineStr">
        <is>
          <t>Rain + air temp for full agronomy context</t>
        </is>
      </c>
    </row>
    <row r="1729" outlineLevel="1" ht="15" customHeight="1">
      <c r="A1729" s="45" t="inlineStr">
        <is>
          <t>KEY</t>
        </is>
      </c>
      <c r="B1729" s="46" t="inlineStr">
        <is>
          <t>±0.5°C, bury at 10cm standard</t>
        </is>
      </c>
    </row>
    <row r="1730" outlineLevel="1" ht="16" customHeight="1">
      <c r="A1730" s="45" t="inlineStr">
        <is>
          <t>buy</t>
        </is>
      </c>
      <c r="B1730" s="49" t="inlineStr">
        <is>
          <t>AE · AMZ · DFR   |   boards: Potted spear probes   |   lib: DallasTemperature   [High]</t>
        </is>
      </c>
    </row>
    <row r="1732" ht="22" customHeight="1">
      <c r="A1732" s="54" t="inlineStr">
        <is>
          <t>S133</t>
        </is>
      </c>
      <c r="B1732" s="55" t="inlineStr">
        <is>
          <t>Compost / hay temp lance   ·   DS18B20 x3 on 1m lance</t>
        </is>
      </c>
    </row>
    <row r="1733" outlineLevel="1" ht="15" customHeight="1">
      <c r="A1733" s="45" t="inlineStr">
        <is>
          <t>Category</t>
        </is>
      </c>
      <c r="B1733" s="12" t="inlineStr">
        <is>
          <t>Soil &amp; Agriculture › Compost safety</t>
        </is>
      </c>
      <c r="E1733" s="45" t="inlineStr">
        <is>
          <t>Measures</t>
        </is>
      </c>
      <c r="F1733" s="12" t="inlineStr">
        <is>
          <t>Deep-pile temperature profile (fire risk + activity)</t>
        </is>
      </c>
    </row>
    <row r="1734" outlineLevel="1" ht="15" customHeight="1">
      <c r="A1734" s="45" t="inlineStr">
        <is>
          <t>Modality</t>
        </is>
      </c>
      <c r="B1734" s="12" t="inlineStr">
        <is>
          <t>—</t>
        </is>
      </c>
      <c r="E1734" s="45" t="inlineStr">
        <is>
          <t>Interface</t>
        </is>
      </c>
      <c r="F1734" s="12" t="inlineStr">
        <is>
          <t>1-Wire</t>
        </is>
      </c>
    </row>
    <row r="1735" outlineLevel="1" ht="15" customHeight="1">
      <c r="A1735" s="45" t="inlineStr">
        <is>
          <t>Supply</t>
        </is>
      </c>
      <c r="B1735" s="12" t="inlineStr">
        <is>
          <t>3.3-5V</t>
        </is>
      </c>
      <c r="E1735" s="45" t="inlineStr">
        <is>
          <t>Price</t>
        </is>
      </c>
      <c r="F1735" s="12" t="inlineStr">
        <is>
          <t>$15  ($$$)</t>
        </is>
      </c>
    </row>
    <row r="1736" outlineLevel="1" ht="15" customHeight="1">
      <c r="A1736" s="45" t="inlineStr">
        <is>
          <t>Difficulty</t>
        </is>
      </c>
      <c r="B1736" s="12" t="inlineStr">
        <is>
          <t>2 — Easy — breadboard wiring, a well-documented library, no analog thought needed</t>
        </is>
      </c>
    </row>
    <row r="1737" outlineLevel="1" ht="25" customHeight="1">
      <c r="A1737" s="45" t="inlineStr">
        <is>
          <t>HOW</t>
        </is>
      </c>
      <c r="B1737" s="46" t="inlineStr">
        <is>
          <t>Multiple DS18B20s along a steel lance image the heat layers in compost/hay; thermophilic activity peaks ~65°C, spontaneous combustion risk starts above ~80°C.</t>
        </is>
      </c>
    </row>
    <row r="1738" outlineLevel="1" ht="19" customHeight="1">
      <c r="A1738" s="45" t="inlineStr">
        <is>
          <t>COMMON</t>
        </is>
      </c>
      <c r="B1738" s="46" t="inlineStr">
        <is>
          <t>Hot-composting management, hay-barn fire prevention, mushroom substrate pasteurisation.</t>
        </is>
      </c>
    </row>
    <row r="1739" outlineLevel="1" ht="24" customHeight="1">
      <c r="A1739" s="45" t="inlineStr">
        <is>
          <t>INVENTION</t>
        </is>
      </c>
      <c r="B1739" s="48" t="inlineStr">
        <is>
          <t>Hay-fire insurance telemetry: barns burn down from wet hay every year — a $30 lance + LoRa node is the entire prevention industry, miniaturised.</t>
        </is>
      </c>
    </row>
    <row r="1740" outlineLevel="1" ht="15" customHeight="1">
      <c r="A1740" s="45" t="inlineStr">
        <is>
          <t>PAIRS</t>
        </is>
      </c>
      <c r="B1740" s="46" t="inlineStr">
        <is>
          <t>LoRa + SMS alerts, RH sensor above pile</t>
        </is>
      </c>
    </row>
    <row r="1741" outlineLevel="1" ht="15" customHeight="1">
      <c r="A1741" s="45" t="inlineStr">
        <is>
          <t>KEY</t>
        </is>
      </c>
      <c r="B1741" s="46" t="inlineStr">
        <is>
          <t>3-5 sensors/lance; DIY assembly</t>
        </is>
      </c>
    </row>
    <row r="1742" outlineLevel="1" ht="16" customHeight="1">
      <c r="A1742" s="45" t="inlineStr">
        <is>
          <t>buy</t>
        </is>
      </c>
      <c r="B1742" s="49" t="inlineStr">
        <is>
          <t>AE · DIY   |   boards: Steel tube + potted sensors   |   lib: DallasTemperature multi-drop   [High]</t>
        </is>
      </c>
    </row>
    <row r="1744" ht="22" customHeight="1">
      <c r="A1744" s="54" t="inlineStr">
        <is>
          <t>S134</t>
        </is>
      </c>
      <c r="B1744" s="55" t="inlineStr">
        <is>
          <t>Analog pH kit   ·   DFRobot SEN0161 / PH-4502C</t>
        </is>
      </c>
    </row>
    <row r="1745" outlineLevel="1" ht="15" customHeight="1">
      <c r="A1745" s="45" t="inlineStr">
        <is>
          <t>Category</t>
        </is>
      </c>
      <c r="B1745" s="12" t="inlineStr">
        <is>
          <t>Water &amp; Liquid › Water chemistry</t>
        </is>
      </c>
      <c r="E1745" s="45" t="inlineStr">
        <is>
          <t>Measures</t>
        </is>
      </c>
      <c r="F1745" s="12" t="inlineStr">
        <is>
          <t>pH 0-14 of any liquid</t>
        </is>
      </c>
    </row>
    <row r="1746" outlineLevel="1" ht="15" customHeight="1">
      <c r="A1746" s="45" t="inlineStr">
        <is>
          <t>Modality</t>
        </is>
      </c>
      <c r="B1746" s="12" t="inlineStr">
        <is>
          <t>—</t>
        </is>
      </c>
      <c r="E1746" s="45" t="inlineStr">
        <is>
          <t>Interface</t>
        </is>
      </c>
      <c r="F1746" s="12" t="inlineStr">
        <is>
          <t>Analog</t>
        </is>
      </c>
    </row>
    <row r="1747" outlineLevel="1" ht="15" customHeight="1">
      <c r="A1747" s="45" t="inlineStr">
        <is>
          <t>Supply</t>
        </is>
      </c>
      <c r="B1747" s="12" t="inlineStr">
        <is>
          <t>3.3-5V</t>
        </is>
      </c>
      <c r="E1747" s="45" t="inlineStr">
        <is>
          <t>Price</t>
        </is>
      </c>
      <c r="F1747" s="12" t="inlineStr">
        <is>
          <t>$30  ($$$)</t>
        </is>
      </c>
    </row>
    <row r="1748" outlineLevel="1" ht="15" customHeight="1">
      <c r="A1748" s="45" t="inlineStr">
        <is>
          <t>Difficulty</t>
        </is>
      </c>
      <c r="B1748" s="12" t="inlineStr">
        <is>
          <t>3 — Some skill — calibration, level shifting, timing, or datasheet reading required</t>
        </is>
      </c>
    </row>
    <row r="1749" outlineLevel="1" ht="26" customHeight="1">
      <c r="A1749" s="45" t="inlineStr">
        <is>
          <t>HOW</t>
        </is>
      </c>
      <c r="B1749" s="46" t="inlineStr">
        <is>
          <t>A glass electrode develops a voltage proportional to hydrogen-ion concentration (59mV per pH unit); an amplifier board shifts it into ADC range. Calibrate with buffer sachets.</t>
        </is>
      </c>
    </row>
    <row r="1750" outlineLevel="1" ht="20" customHeight="1">
      <c r="A1750" s="45" t="inlineStr">
        <is>
          <t>COMMON</t>
        </is>
      </c>
      <c r="B1750" s="46" t="inlineStr">
        <is>
          <t>Aquariums, hydroponics dosing, pool monitoring, fermentation (kombucha/yogurt), soil slurry tests.</t>
        </is>
      </c>
    </row>
    <row r="1751" outlineLevel="1" ht="22" customHeight="1">
      <c r="A1751" s="45" t="inlineStr">
        <is>
          <t>INVENTION</t>
        </is>
      </c>
      <c r="B1751" s="48" t="inlineStr">
        <is>
          <t>Hydroponic autopilot: pH + EC + peristaltic pumps hold nutrient chemistry in band 24/7 — the difference between hobby and harvest.</t>
        </is>
      </c>
    </row>
    <row r="1752" outlineLevel="1" ht="15" customHeight="1">
      <c r="A1752" s="45" t="inlineStr">
        <is>
          <t>PAIRS</t>
        </is>
      </c>
      <c r="B1752" s="46" t="inlineStr">
        <is>
          <t>EC sensor + 2x peristaltic pumps + MQTT charts</t>
        </is>
      </c>
    </row>
    <row r="1753" outlineLevel="1" ht="27" customHeight="1">
      <c r="A1753" s="45" t="inlineStr">
        <is>
          <t>KEY</t>
        </is>
      </c>
      <c r="B1753" s="46" t="inlineStr">
        <is>
          <t>±0.1pH once calibrated. The glass electrode is a consumable — roughly 12-18 months, and it must never dry out. Two-point calibration with buffer sachets is mandatory, not optional.</t>
        </is>
      </c>
    </row>
    <row r="1754" outlineLevel="1" ht="16" customHeight="1">
      <c r="A1754" s="45" t="inlineStr">
        <is>
          <t>buy</t>
        </is>
      </c>
      <c r="B1754" s="49" t="inlineStr">
        <is>
          <t>DFR · AE · AMZ   |   boards: DFRobot Gravity pH v2, PH-4502C budget   |   lib: analogRead + 2-point cal   [High]</t>
        </is>
      </c>
    </row>
    <row r="1756" ht="22" customHeight="1">
      <c r="A1756" s="54" t="inlineStr">
        <is>
          <t>S135</t>
        </is>
      </c>
      <c r="B1756" s="55" t="inlineStr">
        <is>
          <t>EC / TDS sensor   ·   DFRobot SEN0244 / Grove TDS</t>
        </is>
      </c>
    </row>
    <row r="1757" outlineLevel="1" ht="15" customHeight="1">
      <c r="A1757" s="45" t="inlineStr">
        <is>
          <t>Category</t>
        </is>
      </c>
      <c r="B1757" s="12" t="inlineStr">
        <is>
          <t>Water &amp; Liquid › Water chemistry</t>
        </is>
      </c>
      <c r="E1757" s="45" t="inlineStr">
        <is>
          <t>Measures</t>
        </is>
      </c>
      <c r="F1757" s="12" t="inlineStr">
        <is>
          <t>Electrical conductivity → dissolved solids ppm</t>
        </is>
      </c>
    </row>
    <row r="1758" outlineLevel="1" ht="15" customHeight="1">
      <c r="A1758" s="45" t="inlineStr">
        <is>
          <t>Modality</t>
        </is>
      </c>
      <c r="B1758" s="12" t="inlineStr">
        <is>
          <t>—</t>
        </is>
      </c>
      <c r="E1758" s="45" t="inlineStr">
        <is>
          <t>Interface</t>
        </is>
      </c>
      <c r="F1758" s="12" t="inlineStr">
        <is>
          <t>Analog</t>
        </is>
      </c>
    </row>
    <row r="1759" outlineLevel="1" ht="15" customHeight="1">
      <c r="A1759" s="45" t="inlineStr">
        <is>
          <t>Supply</t>
        </is>
      </c>
      <c r="B1759" s="12" t="inlineStr">
        <is>
          <t>3.3-5V</t>
        </is>
      </c>
      <c r="E1759" s="45" t="inlineStr">
        <is>
          <t>Price</t>
        </is>
      </c>
      <c r="F1759" s="12" t="inlineStr">
        <is>
          <t>$12  ($$)</t>
        </is>
      </c>
    </row>
    <row r="1760" outlineLevel="1" ht="15" customHeight="1">
      <c r="A1760" s="45" t="inlineStr">
        <is>
          <t>Difficulty</t>
        </is>
      </c>
      <c r="B1760" s="12" t="inlineStr">
        <is>
          <t>2 — Easy — breadboard wiring, a well-documented library, no analog thought needed</t>
        </is>
      </c>
    </row>
    <row r="1761" outlineLevel="1" ht="26" customHeight="1">
      <c r="A1761" s="45" t="inlineStr">
        <is>
          <t>HOW</t>
        </is>
      </c>
      <c r="B1761" s="46" t="inlineStr">
        <is>
          <t>Two electrodes measure how easily current flows; dissolved salts/nutrients carry the current, so conductivity tracks concentration. Temperature-compensate for honest numbers.</t>
        </is>
      </c>
    </row>
    <row r="1762" outlineLevel="1" ht="20" customHeight="1">
      <c r="A1762" s="45" t="inlineStr">
        <is>
          <t>COMMON</t>
        </is>
      </c>
      <c r="B1762" s="46" t="inlineStr">
        <is>
          <t>Hydroponic nutrient strength, RO-filter health, aquarium salinity trends, kettle-scale prediction.</t>
        </is>
      </c>
    </row>
    <row r="1763" outlineLevel="1" ht="22" customHeight="1">
      <c r="A1763" s="45" t="inlineStr">
        <is>
          <t>INVENTION</t>
        </is>
      </c>
      <c r="B1763" s="48" t="inlineStr">
        <is>
          <t>Water-filter honesty meter: inline TDS before/after cartridge quantifies exactly when the filter stops earning its keep.</t>
        </is>
      </c>
    </row>
    <row r="1764" outlineLevel="1" ht="16" customHeight="1">
      <c r="A1764" s="45" t="inlineStr">
        <is>
          <t>PAIRS</t>
        </is>
      </c>
      <c r="B1764" s="46" t="inlineStr">
        <is>
          <t>DS18B20 inline, flow sensor for litres-since-new</t>
        </is>
      </c>
    </row>
    <row r="1765" outlineLevel="1" ht="16" customHeight="1">
      <c r="A1765" s="45" t="inlineStr">
        <is>
          <t>KEY</t>
        </is>
      </c>
      <c r="B1765" s="46" t="inlineStr">
        <is>
          <t>0-1000+ ppm class; pair with DS18B20 for compensation</t>
        </is>
      </c>
    </row>
    <row r="1766" outlineLevel="1" ht="16" customHeight="1">
      <c r="A1766" s="45" t="inlineStr">
        <is>
          <t>buy</t>
        </is>
      </c>
      <c r="B1766" s="49" t="inlineStr">
        <is>
          <t>DFR · AE · SS   |   boards: Gravity TDS kit   |   lib: DFRobot sample + temp comp   [High]</t>
        </is>
      </c>
    </row>
    <row r="1768" ht="22" customHeight="1">
      <c r="A1768" s="54" t="inlineStr">
        <is>
          <t>S239</t>
        </is>
      </c>
      <c r="B1768" s="55" t="inlineStr">
        <is>
          <t>Dissolved oxygen kit (Atlas EZO-DO)   ·   Atlas Scientific EZO-DO + probe</t>
        </is>
      </c>
    </row>
    <row r="1769" outlineLevel="1" ht="15" customHeight="1">
      <c r="A1769" s="45" t="inlineStr">
        <is>
          <t>Category</t>
        </is>
      </c>
      <c r="B1769" s="12" t="inlineStr">
        <is>
          <t>Water &amp; Liquid › Water chemistry</t>
        </is>
      </c>
      <c r="E1769" s="45" t="inlineStr">
        <is>
          <t>Measures</t>
        </is>
      </c>
      <c r="F1769" s="12" t="inlineStr">
        <is>
          <t>Dissolved O2 mg/L (fish &amp; ferment critical)</t>
        </is>
      </c>
    </row>
    <row r="1770" outlineLevel="1" ht="15" customHeight="1">
      <c r="A1770" s="45" t="inlineStr">
        <is>
          <t>Modality</t>
        </is>
      </c>
      <c r="B1770" s="12" t="inlineStr">
        <is>
          <t>—</t>
        </is>
      </c>
      <c r="E1770" s="45" t="inlineStr">
        <is>
          <t>Interface</t>
        </is>
      </c>
      <c r="F1770" s="12" t="inlineStr">
        <is>
          <t>I2C / UART / Analog</t>
        </is>
      </c>
    </row>
    <row r="1771" outlineLevel="1" ht="15" customHeight="1">
      <c r="A1771" s="45" t="inlineStr">
        <is>
          <t>Supply</t>
        </is>
      </c>
      <c r="B1771" s="12" t="inlineStr">
        <is>
          <t>3.3-5V</t>
        </is>
      </c>
      <c r="E1771" s="45" t="inlineStr">
        <is>
          <t>Price</t>
        </is>
      </c>
      <c r="F1771" s="12" t="inlineStr">
        <is>
          <t>$170  ($$$$)</t>
        </is>
      </c>
    </row>
    <row r="1772" outlineLevel="1" ht="15" customHeight="1">
      <c r="A1772" s="45" t="inlineStr">
        <is>
          <t>Difficulty</t>
        </is>
      </c>
      <c r="B1772" s="12" t="inlineStr">
        <is>
          <t>3 — Some skill — calibration, level shifting, timing, or datasheet reading required</t>
        </is>
      </c>
    </row>
    <row r="1773" outlineLevel="1" ht="25" customHeight="1">
      <c r="A1773" s="45" t="inlineStr">
        <is>
          <t>HOW</t>
        </is>
      </c>
      <c r="B1773" s="46" t="inlineStr">
        <is>
          <t>A membrane-capped galvanic probe consumes oxygen, generating current proportional to DO — the number that decides whether fish live and aerobic ferments thrive.</t>
        </is>
      </c>
    </row>
    <row r="1774" outlineLevel="1" ht="17" customHeight="1">
      <c r="A1774" s="45" t="inlineStr">
        <is>
          <t>COMMON</t>
        </is>
      </c>
      <c r="B1774" s="46" t="inlineStr">
        <is>
          <t>Aquaculture, pond health, river citizen-science, bioreactor monitoring.</t>
        </is>
      </c>
    </row>
    <row r="1775" outlineLevel="1" ht="22" customHeight="1">
      <c r="A1775" s="45" t="inlineStr">
        <is>
          <t>INVENTION</t>
        </is>
      </c>
      <c r="B1775" s="48" t="inlineStr">
        <is>
          <t>Pond guardian for koi keepers: DO crashes at dawn kill fish silently — aerator interlock + alarm is literally life insurance.</t>
        </is>
      </c>
    </row>
    <row r="1776" outlineLevel="1" ht="15" customHeight="1">
      <c r="A1776" s="45" t="inlineStr">
        <is>
          <t>PAIRS</t>
        </is>
      </c>
      <c r="B1776" s="46" t="inlineStr">
        <is>
          <t>Aerator relay, temp probe (DO is temp-coupled)</t>
        </is>
      </c>
    </row>
    <row r="1777" outlineLevel="1" ht="15" customHeight="1">
      <c r="A1777" s="45" t="inlineStr">
        <is>
          <t>KEY</t>
        </is>
      </c>
      <c r="B1777" s="46" t="inlineStr">
        <is>
          <t>0-20mg/L, membrane maintenance required</t>
        </is>
      </c>
    </row>
    <row r="1778" outlineLevel="1" ht="16" customHeight="1">
      <c r="A1778" s="45" t="inlineStr">
        <is>
          <t>buy</t>
        </is>
      </c>
      <c r="B1778" s="49" t="inlineStr">
        <is>
          <t>AT · DFR · DK   |   boards: Atlas Scientific EZO stack (lab-grade)   |   lib: Atlas EZO I2C   [High]</t>
        </is>
      </c>
    </row>
    <row r="1780" ht="22" customHeight="1">
      <c r="A1780" s="54" t="inlineStr">
        <is>
          <t>S137</t>
        </is>
      </c>
      <c r="B1780" s="55" t="inlineStr">
        <is>
          <t>Turbidity sensor   ·   DFRobot SEN0189</t>
        </is>
      </c>
    </row>
    <row r="1781" outlineLevel="1" ht="15" customHeight="1">
      <c r="A1781" s="45" t="inlineStr">
        <is>
          <t>Category</t>
        </is>
      </c>
      <c r="B1781" s="12" t="inlineStr">
        <is>
          <t>Water &amp; Liquid › Water quality</t>
        </is>
      </c>
      <c r="E1781" s="45" t="inlineStr">
        <is>
          <t>Measures</t>
        </is>
      </c>
      <c r="F1781" s="12" t="inlineStr">
        <is>
          <t>Water cloudiness (suspended particles)</t>
        </is>
      </c>
    </row>
    <row r="1782" outlineLevel="1" ht="15" customHeight="1">
      <c r="A1782" s="45" t="inlineStr">
        <is>
          <t>Modality</t>
        </is>
      </c>
      <c r="B1782" s="12" t="inlineStr">
        <is>
          <t>—</t>
        </is>
      </c>
      <c r="E1782" s="45" t="inlineStr">
        <is>
          <t>Interface</t>
        </is>
      </c>
      <c r="F1782" s="12" t="inlineStr">
        <is>
          <t>Analog</t>
        </is>
      </c>
    </row>
    <row r="1783" outlineLevel="1" ht="15" customHeight="1">
      <c r="A1783" s="45" t="inlineStr">
        <is>
          <t>Supply</t>
        </is>
      </c>
      <c r="B1783" s="12" t="inlineStr">
        <is>
          <t>5V</t>
        </is>
      </c>
      <c r="E1783" s="45" t="inlineStr">
        <is>
          <t>Price</t>
        </is>
      </c>
      <c r="F1783" s="12" t="inlineStr">
        <is>
          <t>$12  ($$)</t>
        </is>
      </c>
    </row>
    <row r="1784" outlineLevel="1" ht="15" customHeight="1">
      <c r="A1784" s="45" t="inlineStr">
        <is>
          <t>Difficulty</t>
        </is>
      </c>
      <c r="B1784" s="12" t="inlineStr">
        <is>
          <t>2 — Easy — breadboard wiring, a well-documented library, no analog thought needed</t>
        </is>
      </c>
    </row>
    <row r="1785" outlineLevel="1" ht="24" customHeight="1">
      <c r="A1785" s="45" t="inlineStr">
        <is>
          <t>HOW</t>
        </is>
      </c>
      <c r="B1785" s="46" t="inlineStr">
        <is>
          <t>IR LED shines through water to a photodetector; particles scatter and block light, lowering the signal — dishwasher tech repurposed for water science.</t>
        </is>
      </c>
    </row>
    <row r="1786" outlineLevel="1" ht="19" customHeight="1">
      <c r="A1786" s="45" t="inlineStr">
        <is>
          <t>COMMON</t>
        </is>
      </c>
      <c r="B1786" s="46" t="inlineStr">
        <is>
          <t>Stream sediment studies, filter monitoring, brewing clarity, runoff event detection.</t>
        </is>
      </c>
    </row>
    <row r="1787" outlineLevel="1" ht="23" customHeight="1">
      <c r="A1787" s="45" t="inlineStr">
        <is>
          <t>INVENTION</t>
        </is>
      </c>
      <c r="B1787" s="48" t="inlineStr">
        <is>
          <t>Construction-site runoff witness: a creek-mounted node timestamps every sediment plume — enforcement-grade environmental accountability.</t>
        </is>
      </c>
    </row>
    <row r="1788" outlineLevel="1" ht="16" customHeight="1">
      <c r="A1788" s="45" t="inlineStr">
        <is>
          <t>PAIRS</t>
        </is>
      </c>
      <c r="B1788" s="46" t="inlineStr">
        <is>
          <t>Rain gauge correlation, solar LoRa node, camera snapshot</t>
        </is>
      </c>
    </row>
    <row r="1789" outlineLevel="1" ht="15" customHeight="1">
      <c r="A1789" s="45" t="inlineStr">
        <is>
          <t>KEY</t>
        </is>
      </c>
      <c r="B1789" s="46" t="inlineStr">
        <is>
          <t>Relative NTU; sunlight shielding needed</t>
        </is>
      </c>
    </row>
    <row r="1790" outlineLevel="1" ht="16" customHeight="1">
      <c r="A1790" s="45" t="inlineStr">
        <is>
          <t>buy</t>
        </is>
      </c>
      <c r="B1790" s="49" t="inlineStr">
        <is>
          <t>DFR · AE · AMZ   |   boards: Gravity turbidity probe   |   lib: analogRead   [High]</t>
        </is>
      </c>
    </row>
    <row r="1792" ht="22" customHeight="1">
      <c r="A1792" s="58" t="inlineStr">
        <is>
          <t>S138</t>
        </is>
      </c>
      <c r="B1792" s="59" t="inlineStr">
        <is>
          <t>YF-S201 flow sensor   ·   YF-S201 / FS300A</t>
        </is>
      </c>
    </row>
    <row r="1793" outlineLevel="1" ht="15" customHeight="1">
      <c r="A1793" s="45" t="inlineStr">
        <is>
          <t>Category</t>
        </is>
      </c>
      <c r="B1793" s="12" t="inlineStr">
        <is>
          <t>Water &amp; Liquid › Flow</t>
        </is>
      </c>
      <c r="E1793" s="45" t="inlineStr">
        <is>
          <t>Measures</t>
        </is>
      </c>
      <c r="F1793" s="12" t="inlineStr">
        <is>
          <t>Water flow 1-30 L/min via inline turbine</t>
        </is>
      </c>
    </row>
    <row r="1794" outlineLevel="1" ht="15" customHeight="1">
      <c r="A1794" s="45" t="inlineStr">
        <is>
          <t>Modality</t>
        </is>
      </c>
      <c r="B1794" s="12" t="inlineStr">
        <is>
          <t>Mechanical</t>
        </is>
      </c>
      <c r="E1794" s="45" t="inlineStr">
        <is>
          <t>Interface</t>
        </is>
      </c>
      <c r="F1794" s="12" t="inlineStr">
        <is>
          <t>Pulse</t>
        </is>
      </c>
    </row>
    <row r="1795" outlineLevel="1" ht="15" customHeight="1">
      <c r="A1795" s="45" t="inlineStr">
        <is>
          <t>Supply</t>
        </is>
      </c>
      <c r="B1795" s="12" t="inlineStr">
        <is>
          <t>5-18V supply; pulse output needs a divider or level shift to 3.3V</t>
        </is>
      </c>
      <c r="E1795" s="45" t="inlineStr">
        <is>
          <t>Price</t>
        </is>
      </c>
      <c r="F1795" s="12" t="inlineStr">
        <is>
          <t>$5  ($$)</t>
        </is>
      </c>
    </row>
    <row r="1796" outlineLevel="1" ht="15" customHeight="1">
      <c r="A1796" s="45" t="inlineStr">
        <is>
          <t>Difficulty</t>
        </is>
      </c>
      <c r="B1796" s="12" t="inlineStr">
        <is>
          <t>1 — Plug and play — Qwiic/STEMMA cable or 3 wires, library example works first time</t>
        </is>
      </c>
    </row>
    <row r="1797" outlineLevel="1" ht="23" customHeight="1">
      <c r="A1797" s="45" t="inlineStr">
        <is>
          <t>HOW</t>
        </is>
      </c>
      <c r="B1797" s="46" t="inlineStr">
        <is>
          <t>A turbine with a magnet spins in the flow, pulsing a Hall sensor — count pulses per second (PCNT peripheral) and you have litres per minute.</t>
        </is>
      </c>
    </row>
    <row r="1798" outlineLevel="1" ht="52" customHeight="1">
      <c r="A1798" s="45" t="inlineStr">
        <is>
          <t>WHAT</t>
        </is>
      </c>
      <c r="B1798" s="47" t="inlineStr">
        <is>
          <t>The pulses-per-litre figure on the datasheet is a nominal value and varies by ±10% between units and with flow rate — calibrate against a measured bucket or your totals will be confidently wrong. It stalls below its minimum flow, so a slow drip or a weeping joint reads as zero, which is exactly the leak you most want to catch. Grit jams the turbine and the bearing wears. It is a mechanical restriction in the pipe. The output may be at supply voltage, so level-shift before an ESP32 GPIO.</t>
        </is>
      </c>
    </row>
    <row r="1799" outlineLevel="1" ht="20" customHeight="1">
      <c r="A1799" s="45" t="inlineStr">
        <is>
          <t>COMMON</t>
        </is>
      </c>
      <c r="B1799" s="46" t="inlineStr">
        <is>
          <t>Irrigation totals, shower-length feedback, leak detection (flow when nobody home), beer-line metering.</t>
        </is>
      </c>
    </row>
    <row r="1800" outlineLevel="1" ht="23" customHeight="1">
      <c r="A1800" s="45" t="inlineStr">
        <is>
          <t>INVENTION</t>
        </is>
      </c>
      <c r="B1800" s="48" t="inlineStr">
        <is>
          <t>Whole-house leak brain: flow at 3am with no occupancy (mmWave says empty) = auto-close the motorised main valve. Insurance discount material.</t>
        </is>
      </c>
    </row>
    <row r="1801" outlineLevel="1" ht="18" customHeight="1">
      <c r="A1801" s="45" t="inlineStr">
        <is>
          <t>REQUIRES</t>
        </is>
      </c>
      <c r="B1801" s="46" t="inlineStr">
        <is>
          <t>Level shifting if run above 3.3V; inline plumbing with the correct thread</t>
        </is>
      </c>
    </row>
    <row r="1802" outlineLevel="1" ht="18" customHeight="1">
      <c r="A1802" s="45" t="inlineStr">
        <is>
          <t>SUBSTITUT</t>
        </is>
      </c>
      <c r="B1802" s="46" t="inlineStr">
        <is>
          <t>No plumbing at all: clamp-on ultrasonic. No moving parts: thermal mass flow.</t>
        </is>
      </c>
    </row>
    <row r="1803" outlineLevel="1" ht="16" customHeight="1">
      <c r="A1803" s="45" t="inlineStr">
        <is>
          <t>PAIRS</t>
        </is>
      </c>
      <c r="B1803" s="46" t="inlineStr">
        <is>
          <t>Motorised ball valve, mmWave occupancy, push alert</t>
        </is>
      </c>
    </row>
    <row r="1804" outlineLevel="1" ht="15" customHeight="1">
      <c r="A1804" s="45" t="inlineStr">
        <is>
          <t>KEY</t>
        </is>
      </c>
      <c r="B1804" s="46" t="inlineStr">
        <is>
          <t>~450 pulses/L, G1/2" thread</t>
        </is>
      </c>
    </row>
    <row r="1805" outlineLevel="1" ht="27" customHeight="1">
      <c r="A1805" s="45" t="inlineStr">
        <is>
          <t>specs</t>
        </is>
      </c>
      <c r="B1805" s="49" t="inlineStr">
        <is>
          <t>Range: 1-30 L/min   Accuracy: ±10% uncalibrated   Resolution: ~450 pulses/L   Calibration: Two-point   Environment: Indoor, Outdoor   Lifecycle: Active   Maturity: Good   ESP32: Use the PCNT peripheral — it counts in hardware with zero CPU load</t>
        </is>
      </c>
    </row>
    <row r="1806" outlineLevel="1" ht="16" customHeight="1">
      <c r="A1806" s="45" t="inlineStr">
        <is>
          <t>buy</t>
        </is>
      </c>
      <c r="B1806" s="49" t="inlineStr">
        <is>
          <t>AE · AMZ · DFR · CE   |   boards: Inline threaded body   |   lib: PCNT / interrupt counting   [High, 2026-07]</t>
        </is>
      </c>
    </row>
    <row r="1807" outlineLevel="1" ht="42" customHeight="1">
      <c r="A1807" s="50" t="inlineStr">
        <is>
          <t>unlocks</t>
        </is>
      </c>
      <c r="B1807" s="51" t="inlineStr">
        <is>
          <t>How fast is water flowing?  •  How much water was used, by whom, and when?  •  Is water escaping where it shouldn't?  •  Is the pump about to run dry?  •  How much heat did this water actually carry?</t>
        </is>
      </c>
    </row>
    <row r="1809" ht="22" customHeight="1">
      <c r="A1809" s="54" t="inlineStr">
        <is>
          <t>S139</t>
        </is>
      </c>
      <c r="B1809" s="55" t="inlineStr">
        <is>
          <t>Non-contact liquid level XKC-Y26   ·   XKC-Y26-NPN</t>
        </is>
      </c>
    </row>
    <row r="1810" outlineLevel="1" ht="15" customHeight="1">
      <c r="A1810" s="45" t="inlineStr">
        <is>
          <t>Category</t>
        </is>
      </c>
      <c r="B1810" s="12" t="inlineStr">
        <is>
          <t>Water &amp; Liquid › Level (point)</t>
        </is>
      </c>
      <c r="E1810" s="45" t="inlineStr">
        <is>
          <t>Measures</t>
        </is>
      </c>
      <c r="F1810" s="12" t="inlineStr">
        <is>
          <t>Liquid presence through tank walls (no contact)</t>
        </is>
      </c>
    </row>
    <row r="1811" outlineLevel="1" ht="15" customHeight="1">
      <c r="A1811" s="45" t="inlineStr">
        <is>
          <t>Modality</t>
        </is>
      </c>
      <c r="B1811" s="12" t="inlineStr">
        <is>
          <t>—</t>
        </is>
      </c>
      <c r="E1811" s="45" t="inlineStr">
        <is>
          <t>Interface</t>
        </is>
      </c>
      <c r="F1811" s="12" t="inlineStr">
        <is>
          <t>Digital</t>
        </is>
      </c>
    </row>
    <row r="1812" outlineLevel="1" ht="15" customHeight="1">
      <c r="A1812" s="45" t="inlineStr">
        <is>
          <t>Supply</t>
        </is>
      </c>
      <c r="B1812" s="12" t="inlineStr">
        <is>
          <t>5-24V</t>
        </is>
      </c>
      <c r="E1812" s="45" t="inlineStr">
        <is>
          <t>Price</t>
        </is>
      </c>
      <c r="F1812" s="12" t="inlineStr">
        <is>
          <t>$8  ($$)</t>
        </is>
      </c>
    </row>
    <row r="1813" outlineLevel="1" ht="15" customHeight="1">
      <c r="A1813" s="45" t="inlineStr">
        <is>
          <t>Difficulty</t>
        </is>
      </c>
      <c r="B1813" s="12" t="inlineStr">
        <is>
          <t>1 — Plug and play — Qwiic/STEMMA cable or 3 wires, library example works first time</t>
        </is>
      </c>
    </row>
    <row r="1814" outlineLevel="1" ht="23" customHeight="1">
      <c r="A1814" s="45" t="inlineStr">
        <is>
          <t>HOW</t>
        </is>
      </c>
      <c r="B1814" s="46" t="inlineStr">
        <is>
          <t>Capacitive coupling tuned to detect the dielectric jump of liquid behind up to 13mm of plastic — strap-on level switching with zero plumbing.</t>
        </is>
      </c>
    </row>
    <row r="1815" outlineLevel="1" ht="19" customHeight="1">
      <c r="A1815" s="45" t="inlineStr">
        <is>
          <t>COMMON</t>
        </is>
      </c>
      <c r="B1815" s="46" t="inlineStr">
        <is>
          <t>Pump dry-run guards, chemical drums (no probe corrosion), espresso reservoirs, RV tanks.</t>
        </is>
      </c>
    </row>
    <row r="1816" outlineLevel="1" ht="21" customHeight="1">
      <c r="A1816" s="45" t="inlineStr">
        <is>
          <t>INVENTION</t>
        </is>
      </c>
      <c r="B1816" s="48" t="inlineStr">
        <is>
          <t>Multi-point ladder: 4 pucks up a tank's side = quartile level gauge on any opaque tank you're not allowed to drill.</t>
        </is>
      </c>
    </row>
    <row r="1817" outlineLevel="1" ht="15" customHeight="1">
      <c r="A1817" s="45" t="inlineStr">
        <is>
          <t>PAIRS</t>
        </is>
      </c>
      <c r="B1817" s="46" t="inlineStr">
        <is>
          <t>Pump relay + alarm, RV dashboard ePaper</t>
        </is>
      </c>
    </row>
    <row r="1818" outlineLevel="1" ht="15" customHeight="1">
      <c r="A1818" s="45" t="inlineStr">
        <is>
          <t>KEY</t>
        </is>
      </c>
      <c r="B1818" s="46" t="inlineStr">
        <is>
          <t>IP67, through-wall</t>
        </is>
      </c>
    </row>
    <row r="1819" outlineLevel="1" ht="16" customHeight="1">
      <c r="A1819" s="45" t="inlineStr">
        <is>
          <t>buy</t>
        </is>
      </c>
      <c r="B1819" s="49" t="inlineStr">
        <is>
          <t>AE · AMZ · DFR   |   boards: Strap-on puck   |   lib: digitalRead   [High]</t>
        </is>
      </c>
    </row>
    <row r="1821" ht="22" customHeight="1">
      <c r="A1821" s="54" t="inlineStr">
        <is>
          <t>S140</t>
        </is>
      </c>
      <c r="B1821" s="55" t="inlineStr">
        <is>
          <t>eTape liquid level   ·   Milone eTape 12"</t>
        </is>
      </c>
    </row>
    <row r="1822" outlineLevel="1" ht="15" customHeight="1">
      <c r="A1822" s="45" t="inlineStr">
        <is>
          <t>Category</t>
        </is>
      </c>
      <c r="B1822" s="12" t="inlineStr">
        <is>
          <t>Water &amp; Liquid › Level (continuous)</t>
        </is>
      </c>
      <c r="E1822" s="45" t="inlineStr">
        <is>
          <t>Measures</t>
        </is>
      </c>
      <c r="F1822" s="12" t="inlineStr">
        <is>
          <t>Continuous liquid level along a flexible strip</t>
        </is>
      </c>
    </row>
    <row r="1823" outlineLevel="1" ht="15" customHeight="1">
      <c r="A1823" s="45" t="inlineStr">
        <is>
          <t>Modality</t>
        </is>
      </c>
      <c r="B1823" s="12" t="inlineStr">
        <is>
          <t>—</t>
        </is>
      </c>
      <c r="E1823" s="45" t="inlineStr">
        <is>
          <t>Interface</t>
        </is>
      </c>
      <c r="F1823" s="12" t="inlineStr">
        <is>
          <t>Analog</t>
        </is>
      </c>
    </row>
    <row r="1824" outlineLevel="1" ht="15" customHeight="1">
      <c r="A1824" s="45" t="inlineStr">
        <is>
          <t>Supply</t>
        </is>
      </c>
      <c r="B1824" s="12" t="inlineStr">
        <is>
          <t>any</t>
        </is>
      </c>
      <c r="E1824" s="45" t="inlineStr">
        <is>
          <t>Price</t>
        </is>
      </c>
      <c r="F1824" s="12" t="inlineStr">
        <is>
          <t>$40  ($$$)</t>
        </is>
      </c>
    </row>
    <row r="1825" outlineLevel="1" ht="15" customHeight="1">
      <c r="A1825" s="45" t="inlineStr">
        <is>
          <t>Difficulty</t>
        </is>
      </c>
      <c r="B1825" s="12" t="inlineStr">
        <is>
          <t>2 — Easy — breadboard wiring, a well-documented library, no analog thought needed</t>
        </is>
      </c>
    </row>
    <row r="1826" outlineLevel="1" ht="23" customHeight="1">
      <c r="A1826" s="45" t="inlineStr">
        <is>
          <t>HOW</t>
        </is>
      </c>
      <c r="B1826" s="46" t="inlineStr">
        <is>
          <t>A printed resistive ladder shorts progressively as hydrostatic pressure squeezes it — resistance maps linearly to depth, no moving parts.</t>
        </is>
      </c>
    </row>
    <row r="1827" outlineLevel="1" ht="17" customHeight="1">
      <c r="A1827" s="45" t="inlineStr">
        <is>
          <t>COMMON</t>
        </is>
      </c>
      <c r="B1827" s="46" t="inlineStr">
        <is>
          <t>Sump pits, hydroponic reservoirs, coffee machines, rain barrels.</t>
        </is>
      </c>
    </row>
    <row r="1828" outlineLevel="1" ht="21" customHeight="1">
      <c r="A1828" s="45" t="inlineStr">
        <is>
          <t>INVENTION</t>
        </is>
      </c>
      <c r="B1828" s="48" t="inlineStr">
        <is>
          <t>Brew-day automation: live mash-tun and kettle volumes on one dashboard — no more peering into steam with a flashlight.</t>
        </is>
      </c>
    </row>
    <row r="1829" outlineLevel="1" ht="15" customHeight="1">
      <c r="A1829" s="45" t="inlineStr">
        <is>
          <t>PAIRS</t>
        </is>
      </c>
      <c r="B1829" s="46" t="inlineStr">
        <is>
          <t>Flow sensor cross-check, pump control</t>
        </is>
      </c>
    </row>
    <row r="1830" outlineLevel="1" ht="15" customHeight="1">
      <c r="A1830" s="45" t="inlineStr">
        <is>
          <t>KEY</t>
        </is>
      </c>
      <c r="B1830" s="46" t="inlineStr">
        <is>
          <t>±2mm, food-safe versions</t>
        </is>
      </c>
    </row>
    <row r="1831" outlineLevel="1" ht="16" customHeight="1">
      <c r="A1831" s="45" t="inlineStr">
        <is>
          <t>buy</t>
        </is>
      </c>
      <c r="B1831" s="49" t="inlineStr">
        <is>
          <t>AF · DK · MIL   |   boards: 8"/12"/24" tapes   |   lib: analogRead + map   [High]</t>
        </is>
      </c>
    </row>
    <row r="1833" ht="22" customHeight="1">
      <c r="A1833" s="54" t="inlineStr">
        <is>
          <t>S141</t>
        </is>
      </c>
      <c r="B1833" s="55" t="inlineStr">
        <is>
          <t>Water leak rope sensor   ·   Leak rope / WLD modules</t>
        </is>
      </c>
    </row>
    <row r="1834" outlineLevel="1" ht="15" customHeight="1">
      <c r="A1834" s="45" t="inlineStr">
        <is>
          <t>Category</t>
        </is>
      </c>
      <c r="B1834" s="12" t="inlineStr">
        <is>
          <t>Water &amp; Liquid › Leak detection</t>
        </is>
      </c>
      <c r="E1834" s="45" t="inlineStr">
        <is>
          <t>Measures</t>
        </is>
      </c>
      <c r="F1834" s="12" t="inlineStr">
        <is>
          <t>Water touching ANY point along a rope/cable</t>
        </is>
      </c>
    </row>
    <row r="1835" outlineLevel="1" ht="15" customHeight="1">
      <c r="A1835" s="45" t="inlineStr">
        <is>
          <t>Modality</t>
        </is>
      </c>
      <c r="B1835" s="12" t="inlineStr">
        <is>
          <t>—</t>
        </is>
      </c>
      <c r="E1835" s="45" t="inlineStr">
        <is>
          <t>Interface</t>
        </is>
      </c>
      <c r="F1835" s="12" t="inlineStr">
        <is>
          <t>Analog / Digital</t>
        </is>
      </c>
    </row>
    <row r="1836" outlineLevel="1" ht="15" customHeight="1">
      <c r="A1836" s="45" t="inlineStr">
        <is>
          <t>Supply</t>
        </is>
      </c>
      <c r="B1836" s="12" t="inlineStr">
        <is>
          <t>3.3-5V</t>
        </is>
      </c>
      <c r="E1836" s="45" t="inlineStr">
        <is>
          <t>Price</t>
        </is>
      </c>
      <c r="F1836" s="12" t="inlineStr">
        <is>
          <t>$10  ($$)</t>
        </is>
      </c>
    </row>
    <row r="1837" outlineLevel="1" ht="15" customHeight="1">
      <c r="A1837" s="45" t="inlineStr">
        <is>
          <t>Difficulty</t>
        </is>
      </c>
      <c r="B1837" s="12" t="inlineStr">
        <is>
          <t>1 — Plug and play — Qwiic/STEMMA cable or 3 wires, library example works first time</t>
        </is>
      </c>
    </row>
    <row r="1838" outlineLevel="1" ht="24" customHeight="1">
      <c r="A1838" s="45" t="inlineStr">
        <is>
          <t>HOW</t>
        </is>
      </c>
      <c r="B1838" s="46" t="inlineStr">
        <is>
          <t>Two conductive wires in an absorbent braid; any wet point bridges them — metres of leak sensing snake under appliances, along baseboards, around pipes.</t>
        </is>
      </c>
    </row>
    <row r="1839" outlineLevel="1" ht="19" customHeight="1">
      <c r="A1839" s="45" t="inlineStr">
        <is>
          <t>COMMON</t>
        </is>
      </c>
      <c r="B1839" s="46" t="inlineStr">
        <is>
          <t>Under washing machines/water heaters, server rooms, aquarium cabinets, RV underbellies.</t>
        </is>
      </c>
    </row>
    <row r="1840" outlineLevel="1" ht="22" customHeight="1">
      <c r="A1840" s="45" t="inlineStr">
        <is>
          <t>INVENTION</t>
        </is>
      </c>
      <c r="B1840" s="48" t="inlineStr">
        <is>
          <t>The $10 sensor that saves $10,000 floors: every water heater older than 8 years deserves one. Sell pre-made kits to neighbours.</t>
        </is>
      </c>
    </row>
    <row r="1841" outlineLevel="1" ht="16" customHeight="1">
      <c r="A1841" s="45" t="inlineStr">
        <is>
          <t>PAIRS</t>
        </is>
      </c>
      <c r="B1841" s="46" t="inlineStr">
        <is>
          <t>ESP-NOW alarm mesh, motorised main-valve shutoff</t>
        </is>
      </c>
    </row>
    <row r="1842" outlineLevel="1" ht="16" customHeight="1">
      <c r="A1842" s="45" t="inlineStr">
        <is>
          <t>KEY</t>
        </is>
      </c>
      <c r="B1842" s="46" t="inlineStr">
        <is>
          <t>Cut-to-length, position-by-resistance variants exist</t>
        </is>
      </c>
    </row>
    <row r="1843" outlineLevel="1" ht="16" customHeight="1">
      <c r="A1843" s="45" t="inlineStr">
        <is>
          <t>buy</t>
        </is>
      </c>
      <c r="B1843" s="49" t="inlineStr">
        <is>
          <t>AE · AMZ · DK   |   boards: Rope + sense module   |   lib: digitalRead   [High]</t>
        </is>
      </c>
    </row>
    <row r="1845" ht="22" customHeight="1">
      <c r="A1845" s="54" t="inlineStr">
        <is>
          <t>S142</t>
        </is>
      </c>
      <c r="B1845" s="55" t="inlineStr">
        <is>
          <t>Ultrasonic liquid (through-wall)   ·   HS-USL-2 class / DS1603L</t>
        </is>
      </c>
    </row>
    <row r="1846" outlineLevel="1" ht="15" customHeight="1">
      <c r="A1846" s="45" t="inlineStr">
        <is>
          <t>Category</t>
        </is>
      </c>
      <c r="B1846" s="12" t="inlineStr">
        <is>
          <t>Water &amp; Liquid › Level (continuous)</t>
        </is>
      </c>
      <c r="E1846" s="45" t="inlineStr">
        <is>
          <t>Measures</t>
        </is>
      </c>
      <c r="F1846" s="12" t="inlineStr">
        <is>
          <t>Liquid level measured from OUTSIDE the tank bottom</t>
        </is>
      </c>
    </row>
    <row r="1847" outlineLevel="1" ht="15" customHeight="1">
      <c r="A1847" s="45" t="inlineStr">
        <is>
          <t>Modality</t>
        </is>
      </c>
      <c r="B1847" s="12" t="inlineStr">
        <is>
          <t>—</t>
        </is>
      </c>
      <c r="E1847" s="45" t="inlineStr">
        <is>
          <t>Interface</t>
        </is>
      </c>
      <c r="F1847" s="12" t="inlineStr">
        <is>
          <t>UART</t>
        </is>
      </c>
    </row>
    <row r="1848" outlineLevel="1" ht="15" customHeight="1">
      <c r="A1848" s="45" t="inlineStr">
        <is>
          <t>Supply</t>
        </is>
      </c>
      <c r="B1848" s="12" t="inlineStr">
        <is>
          <t>5V</t>
        </is>
      </c>
      <c r="E1848" s="45" t="inlineStr">
        <is>
          <t>Price</t>
        </is>
      </c>
      <c r="F1848" s="12" t="inlineStr">
        <is>
          <t>$25  ($$$)</t>
        </is>
      </c>
    </row>
    <row r="1849" outlineLevel="1" ht="15" customHeight="1">
      <c r="A1849" s="45" t="inlineStr">
        <is>
          <t>Difficulty</t>
        </is>
      </c>
      <c r="B1849" s="12" t="inlineStr">
        <is>
          <t>3 — Some skill — calibration, level shifting, timing, or datasheet reading required</t>
        </is>
      </c>
    </row>
    <row r="1850" outlineLevel="1" ht="24" customHeight="1">
      <c r="A1850" s="45" t="inlineStr">
        <is>
          <t>HOW</t>
        </is>
      </c>
      <c r="B1850" s="46" t="inlineStr">
        <is>
          <t>An ultrasonic puck glued under the tank pings up through the wall and liquid; echo from the surface gives level — no tank entry, food/chemical safe.</t>
        </is>
      </c>
    </row>
    <row r="1851" outlineLevel="1" ht="18" customHeight="1">
      <c r="A1851" s="45" t="inlineStr">
        <is>
          <t>COMMON</t>
        </is>
      </c>
      <c r="B1851" s="46" t="inlineStr">
        <is>
          <t>Sealed drums, LPG tank levels (with care), water tanks you can't open, fuel tanks.</t>
        </is>
      </c>
    </row>
    <row r="1852" outlineLevel="1" ht="22" customHeight="1">
      <c r="A1852" s="45" t="inlineStr">
        <is>
          <t>INVENTION</t>
        </is>
      </c>
      <c r="B1852" s="48" t="inlineStr">
        <is>
          <t>RV/boat fuel + fresh + grey levels with zero tank penetrations — retrofit telemetry the marine industry charges fortunes for.</t>
        </is>
      </c>
    </row>
    <row r="1853" outlineLevel="1" ht="15" customHeight="1">
      <c r="A1853" s="45" t="inlineStr">
        <is>
          <t>PAIRS</t>
        </is>
      </c>
      <c r="B1853" s="46" t="inlineStr">
        <is>
          <t>ePaper tank dashboard, LoRa to house</t>
        </is>
      </c>
    </row>
    <row r="1854" outlineLevel="1" ht="15" customHeight="1">
      <c r="A1854" s="45" t="inlineStr">
        <is>
          <t>KEY</t>
        </is>
      </c>
      <c r="B1854" s="46" t="inlineStr">
        <is>
          <t>DS1603L: 5-2000mm through plastic/metal</t>
        </is>
      </c>
    </row>
    <row r="1855" outlineLevel="1" ht="16" customHeight="1">
      <c r="A1855" s="45" t="inlineStr">
        <is>
          <t>buy</t>
        </is>
      </c>
      <c r="B1855" s="49" t="inlineStr">
        <is>
          <t>AE   |   boards: DS1603L module   |   lib: UART frame parse   [High]</t>
        </is>
      </c>
    </row>
    <row r="1857" ht="22" customHeight="1">
      <c r="A1857" s="54" t="inlineStr">
        <is>
          <t>S143</t>
        </is>
      </c>
      <c r="B1857" s="55" t="inlineStr">
        <is>
          <t>ORP (redox) probe   ·   Atlas EZO-ORP / SEN0464</t>
        </is>
      </c>
    </row>
    <row r="1858" outlineLevel="1" ht="15" customHeight="1">
      <c r="A1858" s="45" t="inlineStr">
        <is>
          <t>Category</t>
        </is>
      </c>
      <c r="B1858" s="12" t="inlineStr">
        <is>
          <t>Water &amp; Liquid › Water chemistry</t>
        </is>
      </c>
      <c r="E1858" s="45" t="inlineStr">
        <is>
          <t>Measures</t>
        </is>
      </c>
      <c r="F1858" s="12" t="inlineStr">
        <is>
          <t>Oxidation-reduction potential (sanitiser power)</t>
        </is>
      </c>
    </row>
    <row r="1859" outlineLevel="1" ht="15" customHeight="1">
      <c r="A1859" s="45" t="inlineStr">
        <is>
          <t>Modality</t>
        </is>
      </c>
      <c r="B1859" s="12" t="inlineStr">
        <is>
          <t>—</t>
        </is>
      </c>
      <c r="E1859" s="45" t="inlineStr">
        <is>
          <t>Interface</t>
        </is>
      </c>
      <c r="F1859" s="12" t="inlineStr">
        <is>
          <t>I2C / UART</t>
        </is>
      </c>
    </row>
    <row r="1860" outlineLevel="1" ht="15" customHeight="1">
      <c r="A1860" s="45" t="inlineStr">
        <is>
          <t>Supply</t>
        </is>
      </c>
      <c r="B1860" s="12" t="inlineStr">
        <is>
          <t>3.3-5V</t>
        </is>
      </c>
      <c r="E1860" s="45" t="inlineStr">
        <is>
          <t>Price</t>
        </is>
      </c>
      <c r="F1860" s="12" t="inlineStr">
        <is>
          <t>$110  ($$$$)</t>
        </is>
      </c>
    </row>
    <row r="1861" outlineLevel="1" ht="15" customHeight="1">
      <c r="A1861" s="45" t="inlineStr">
        <is>
          <t>Difficulty</t>
        </is>
      </c>
      <c r="B1861" s="12" t="inlineStr">
        <is>
          <t>3 — Some skill — calibration, level shifting, timing, or datasheet reading required</t>
        </is>
      </c>
    </row>
    <row r="1862" outlineLevel="1" ht="24" customHeight="1">
      <c r="A1862" s="45" t="inlineStr">
        <is>
          <t>HOW</t>
        </is>
      </c>
      <c r="B1862" s="46" t="inlineStr">
        <is>
          <t>A platinum electrode reads the solution's electron appetite in millivolts — the real-time measure of whether pool chlorine is actually sanitising.</t>
        </is>
      </c>
    </row>
    <row r="1863" outlineLevel="1" ht="19" customHeight="1">
      <c r="A1863" s="45" t="inlineStr">
        <is>
          <t>COMMON</t>
        </is>
      </c>
      <c r="B1863" s="46" t="inlineStr">
        <is>
          <t>Pool/spa automation, hydroponic sterility, kombucha safety science, water treatment.</t>
        </is>
      </c>
    </row>
    <row r="1864" outlineLevel="1" ht="22" customHeight="1">
      <c r="A1864" s="45" t="inlineStr">
        <is>
          <t>INVENTION</t>
        </is>
      </c>
      <c r="B1864" s="48" t="inlineStr">
        <is>
          <t>A pool that doses itself: ORP + pH + peristaltic chlorine/acid pumps = commercial pool-controller function at a fifth the price.</t>
        </is>
      </c>
    </row>
    <row r="1865" outlineLevel="1" ht="15" customHeight="1">
      <c r="A1865" s="45" t="inlineStr">
        <is>
          <t>PAIRS</t>
        </is>
      </c>
      <c r="B1865" s="46" t="inlineStr">
        <is>
          <t>pH + temp + peristaltic pumps</t>
        </is>
      </c>
    </row>
    <row r="1866" outlineLevel="1" ht="15" customHeight="1">
      <c r="A1866" s="45" t="inlineStr">
        <is>
          <t>KEY</t>
        </is>
      </c>
      <c r="B1866" s="46" t="inlineStr">
        <is>
          <t>±1000mV; 650mV+ = sanitising pool</t>
        </is>
      </c>
    </row>
    <row r="1867" outlineLevel="1" ht="16" customHeight="1">
      <c r="A1867" s="45" t="inlineStr">
        <is>
          <t>buy</t>
        </is>
      </c>
      <c r="B1867" s="49" t="inlineStr">
        <is>
          <t>AT · DFR · DK   |   boards: Atlas EZO-ORP   |   lib: Atlas EZO   [High]</t>
        </is>
      </c>
    </row>
    <row r="1869" ht="22" customHeight="1">
      <c r="A1869" s="54" t="inlineStr">
        <is>
          <t>S144</t>
        </is>
      </c>
      <c r="B1869" s="55" t="inlineStr">
        <is>
          <t>INA219 current/power monitor   ·   INA219</t>
        </is>
      </c>
    </row>
    <row r="1870" outlineLevel="1" ht="15" customHeight="1">
      <c r="A1870" s="45" t="inlineStr">
        <is>
          <t>Category</t>
        </is>
      </c>
      <c r="B1870" s="12" t="inlineStr">
        <is>
          <t>Power &amp; Electrical › DC current (I2C)</t>
        </is>
      </c>
      <c r="E1870" s="45" t="inlineStr">
        <is>
          <t>Measures</t>
        </is>
      </c>
      <c r="F1870" s="12" t="inlineStr">
        <is>
          <t>DC voltage, current and watts on one bus</t>
        </is>
      </c>
    </row>
    <row r="1871" outlineLevel="1" ht="15" customHeight="1">
      <c r="A1871" s="45" t="inlineStr">
        <is>
          <t>Modality</t>
        </is>
      </c>
      <c r="B1871" s="12" t="inlineStr">
        <is>
          <t>—</t>
        </is>
      </c>
      <c r="E1871" s="45" t="inlineStr">
        <is>
          <t>Interface</t>
        </is>
      </c>
      <c r="F1871" s="12" t="inlineStr">
        <is>
          <t>I2C</t>
        </is>
      </c>
    </row>
    <row r="1872" outlineLevel="1" ht="15" customHeight="1">
      <c r="A1872" s="45" t="inlineStr">
        <is>
          <t>Supply</t>
        </is>
      </c>
      <c r="B1872" s="12" t="inlineStr">
        <is>
          <t>3-5.5V (bus to 26V)</t>
        </is>
      </c>
      <c r="E1872" s="45" t="inlineStr">
        <is>
          <t>Price</t>
        </is>
      </c>
      <c r="F1872" s="12" t="inlineStr">
        <is>
          <t>$2.5  ($)</t>
        </is>
      </c>
    </row>
    <row r="1873" outlineLevel="1" ht="15" customHeight="1">
      <c r="A1873" s="45" t="inlineStr">
        <is>
          <t>Difficulty</t>
        </is>
      </c>
      <c r="B1873" s="12" t="inlineStr">
        <is>
          <t>1 — Plug and play — Qwiic/STEMMA cable or 3 wires, library example works first time</t>
        </is>
      </c>
    </row>
    <row r="1874" outlineLevel="1" ht="24" customHeight="1">
      <c r="A1874" s="45" t="inlineStr">
        <is>
          <t>HOW</t>
        </is>
      </c>
      <c r="B1874" s="46" t="inlineStr">
        <is>
          <t>Measures the microvolt drop across a precision shunt resistor plus bus voltage, multiplying them on-chip into milliwatts — your project's own power meter.</t>
        </is>
      </c>
    </row>
    <row r="1875" outlineLevel="1" ht="19" customHeight="1">
      <c r="A1875" s="45" t="inlineStr">
        <is>
          <t>COMMON</t>
        </is>
      </c>
      <c r="B1875" s="46" t="inlineStr">
        <is>
          <t>Battery life profiling, solar charge monitoring, motor stall detection, per-rail debugging.</t>
        </is>
      </c>
    </row>
    <row r="1876" outlineLevel="1" ht="23" customHeight="1">
      <c r="A1876" s="45" t="inlineStr">
        <is>
          <t>INVENTION</t>
        </is>
      </c>
      <c r="B1876" s="48" t="inlineStr">
        <is>
          <t>Self-aware battery devices: the project measures ITS OWN consumption and predicts 'days remaining' — then optimises its own sleep schedule.</t>
        </is>
      </c>
    </row>
    <row r="1877" outlineLevel="1" ht="15" customHeight="1">
      <c r="A1877" s="45" t="inlineStr">
        <is>
          <t>PAIRS</t>
        </is>
      </c>
      <c r="B1877" s="46" t="inlineStr">
        <is>
          <t>Every battery project you ever build</t>
        </is>
      </c>
    </row>
    <row r="1878" outlineLevel="1" ht="15" customHeight="1">
      <c r="A1878" s="45" t="inlineStr">
        <is>
          <t>KEY</t>
        </is>
      </c>
      <c r="B1878" s="46" t="inlineStr">
        <is>
          <t>±3.2A (0.1Ω shunt), 12-bit</t>
        </is>
      </c>
    </row>
    <row r="1879" outlineLevel="1" ht="16" customHeight="1">
      <c r="A1879" s="45" t="inlineStr">
        <is>
          <t>buy</t>
        </is>
      </c>
      <c r="B1879" s="49" t="inlineStr">
        <is>
          <t>AF · AE · DK · CE   |   boards: GY-219, Adafruit 904   |   lib: Adafruit_INA219   [High]</t>
        </is>
      </c>
    </row>
    <row r="1881" ht="22" customHeight="1">
      <c r="A1881" s="54" t="inlineStr">
        <is>
          <t>S145</t>
        </is>
      </c>
      <c r="B1881" s="55" t="inlineStr">
        <is>
          <t>INA226/INA228 precision power   ·   INA226 / INA228 (20-bit)</t>
        </is>
      </c>
    </row>
    <row r="1882" outlineLevel="1" ht="15" customHeight="1">
      <c r="A1882" s="45" t="inlineStr">
        <is>
          <t>Category</t>
        </is>
      </c>
      <c r="B1882" s="12" t="inlineStr">
        <is>
          <t>Power &amp; Electrical › DC current (I2C)</t>
        </is>
      </c>
      <c r="E1882" s="45" t="inlineStr">
        <is>
          <t>Measures</t>
        </is>
      </c>
      <c r="F1882" s="12" t="inlineStr">
        <is>
          <t>High-precision V/I/W + energy accumulation (INA228)</t>
        </is>
      </c>
    </row>
    <row r="1883" outlineLevel="1" ht="15" customHeight="1">
      <c r="A1883" s="45" t="inlineStr">
        <is>
          <t>Modality</t>
        </is>
      </c>
      <c r="B1883" s="12" t="inlineStr">
        <is>
          <t>—</t>
        </is>
      </c>
      <c r="E1883" s="45" t="inlineStr">
        <is>
          <t>Interface</t>
        </is>
      </c>
      <c r="F1883" s="12" t="inlineStr">
        <is>
          <t>I2C</t>
        </is>
      </c>
    </row>
    <row r="1884" outlineLevel="1" ht="15" customHeight="1">
      <c r="A1884" s="45" t="inlineStr">
        <is>
          <t>Supply</t>
        </is>
      </c>
      <c r="B1884" s="12" t="inlineStr">
        <is>
          <t>2.7-5.5V (bus to 85V)</t>
        </is>
      </c>
      <c r="E1884" s="45" t="inlineStr">
        <is>
          <t>Price</t>
        </is>
      </c>
      <c r="F1884" s="12" t="inlineStr">
        <is>
          <t>$6  ($$)</t>
        </is>
      </c>
    </row>
    <row r="1885" outlineLevel="1" ht="15" customHeight="1">
      <c r="A1885" s="45" t="inlineStr">
        <is>
          <t>Difficulty</t>
        </is>
      </c>
      <c r="B1885" s="12" t="inlineStr">
        <is>
          <t>2 — Easy — breadboard wiring, a well-documented library, no analog thought needed</t>
        </is>
      </c>
    </row>
    <row r="1886" outlineLevel="1" ht="23" customHeight="1">
      <c r="A1886" s="45" t="inlineStr">
        <is>
          <t>HOW</t>
        </is>
      </c>
      <c r="B1886" s="46" t="inlineStr">
        <is>
          <t>Upgraded INA family: 16-20 bit converters and (INA228) on-chip coulomb counting — it integrates energy so you don't have to sample constantly.</t>
        </is>
      </c>
    </row>
    <row r="1887" outlineLevel="1" ht="19" customHeight="1">
      <c r="A1887" s="45" t="inlineStr">
        <is>
          <t>COMMON</t>
        </is>
      </c>
      <c r="B1887" s="46" t="inlineStr">
        <is>
          <t>Solar MPPT studies, e-bike battery analytics, lab PSU augmentation, energy-harvest budgeting.</t>
        </is>
      </c>
    </row>
    <row r="1888" outlineLevel="1" ht="23" customHeight="1">
      <c r="A1888" s="45" t="inlineStr">
        <is>
          <t>INVENTION</t>
        </is>
      </c>
      <c r="B1888" s="48" t="inlineStr">
        <is>
          <t>True joule-accounting for energy harvesting: prove your solar node banks more than it spends across a cloudy week — with coulomb receipts.</t>
        </is>
      </c>
    </row>
    <row r="1889" outlineLevel="1" ht="15" customHeight="1">
      <c r="A1889" s="45" t="inlineStr">
        <is>
          <t>PAIRS</t>
        </is>
      </c>
      <c r="B1889" s="46" t="inlineStr">
        <is>
          <t>Supercap rig + MPPT module, SD energy ledger</t>
        </is>
      </c>
    </row>
    <row r="1890" outlineLevel="1" ht="16" customHeight="1">
      <c r="A1890" s="45" t="inlineStr">
        <is>
          <t>KEY</t>
        </is>
      </c>
      <c r="B1890" s="46" t="inlineStr">
        <is>
          <t>INA228: 20-bit, ±85V bus, energy/charge registers</t>
        </is>
      </c>
    </row>
    <row r="1891" outlineLevel="1" ht="16" customHeight="1">
      <c r="A1891" s="45" t="inlineStr">
        <is>
          <t>buy</t>
        </is>
      </c>
      <c r="B1891" s="49" t="inlineStr">
        <is>
          <t>AF · DK · MO · AE   |   boards: INA226 modules, Adafruit INA228 (5832)   |   lib: Adafruit_INA228, INA226 libs   [High]</t>
        </is>
      </c>
    </row>
    <row r="1893" ht="22" customHeight="1">
      <c r="A1893" s="54" t="inlineStr">
        <is>
          <t>S146</t>
        </is>
      </c>
      <c r="B1893" s="55" t="inlineStr">
        <is>
          <t>ACS712 Hall current   ·   ACS712-05/20/30A</t>
        </is>
      </c>
    </row>
    <row r="1894" outlineLevel="1" ht="15" customHeight="1">
      <c r="A1894" s="45" t="inlineStr">
        <is>
          <t>Category</t>
        </is>
      </c>
      <c r="B1894" s="12" t="inlineStr">
        <is>
          <t>Power &amp; Electrical › DC/AC current (isolated)</t>
        </is>
      </c>
      <c r="E1894" s="45" t="inlineStr">
        <is>
          <t>Measures</t>
        </is>
      </c>
      <c r="F1894" s="12" t="inlineStr">
        <is>
          <t>±5/20/30A AC or DC, galvanically isolated</t>
        </is>
      </c>
    </row>
    <row r="1895" outlineLevel="1" ht="15" customHeight="1">
      <c r="A1895" s="45" t="inlineStr">
        <is>
          <t>Modality</t>
        </is>
      </c>
      <c r="B1895" s="12" t="inlineStr">
        <is>
          <t>—</t>
        </is>
      </c>
      <c r="E1895" s="45" t="inlineStr">
        <is>
          <t>Interface</t>
        </is>
      </c>
      <c r="F1895" s="12" t="inlineStr">
        <is>
          <t>Analog</t>
        </is>
      </c>
    </row>
    <row r="1896" outlineLevel="1" ht="15" customHeight="1">
      <c r="A1896" s="45" t="inlineStr">
        <is>
          <t>Supply</t>
        </is>
      </c>
      <c r="B1896" s="12" t="inlineStr">
        <is>
          <t>5V (use divider/3.3V variants)</t>
        </is>
      </c>
      <c r="E1896" s="45" t="inlineStr">
        <is>
          <t>Price</t>
        </is>
      </c>
      <c r="F1896" s="12" t="inlineStr">
        <is>
          <t>$3  ($)</t>
        </is>
      </c>
    </row>
    <row r="1897" outlineLevel="1" ht="15" customHeight="1">
      <c r="A1897" s="45" t="inlineStr">
        <is>
          <t>Difficulty</t>
        </is>
      </c>
      <c r="B1897" s="12" t="inlineStr">
        <is>
          <t>2 — Easy — breadboard wiring, a well-documented library, no analog thought needed</t>
        </is>
      </c>
    </row>
    <row r="1898" outlineLevel="1" ht="24" customHeight="1">
      <c r="A1898" s="45" t="inlineStr">
        <is>
          <t>HOW</t>
        </is>
      </c>
      <c r="B1898" s="46" t="inlineStr">
        <is>
          <t>Current through an internal conductor creates a magnetic field a Hall element reads — the measured circuit never touches your ESP32. Isolation built in.</t>
        </is>
      </c>
    </row>
    <row r="1899" outlineLevel="1" ht="19" customHeight="1">
      <c r="A1899" s="45" t="inlineStr">
        <is>
          <t>COMMON</t>
        </is>
      </c>
      <c r="B1899" s="46" t="inlineStr">
        <is>
          <t>Motor load monitoring, battery charge/discharge, appliance on/off detection, solar strings.</t>
        </is>
      </c>
    </row>
    <row r="1900" outlineLevel="1" ht="23" customHeight="1">
      <c r="A1900" s="45" t="inlineStr">
        <is>
          <t>INVENTION</t>
        </is>
      </c>
      <c r="B1900" s="48" t="inlineStr">
        <is>
          <t>Tool-state telepathy for a workshop: each machine's current signature says idle/cutting/jammed — a shop dashboard with stall alarms.</t>
        </is>
      </c>
    </row>
    <row r="1901" outlineLevel="1" ht="15" customHeight="1">
      <c r="A1901" s="45" t="inlineStr">
        <is>
          <t>PAIRS</t>
        </is>
      </c>
      <c r="B1901" s="46" t="inlineStr">
        <is>
          <t>Relay cutoffs, vibration cross-check, MQTT</t>
        </is>
      </c>
    </row>
    <row r="1902" outlineLevel="1" ht="15" customHeight="1">
      <c r="A1902" s="45" t="inlineStr">
        <is>
          <t>KEY</t>
        </is>
      </c>
      <c r="B1902" s="46" t="inlineStr">
        <is>
          <t>66-185mV/A, noisy at low currents</t>
        </is>
      </c>
    </row>
    <row r="1903" outlineLevel="1" ht="16" customHeight="1">
      <c r="A1903" s="45" t="inlineStr">
        <is>
          <t>buy</t>
        </is>
      </c>
      <c r="B1903" s="49" t="inlineStr">
        <is>
          <t>AE · AMZ · DFR · CE   |   boards: ACS712 module   |   lib: analogRead + RMS math for AC   [High]</t>
        </is>
      </c>
    </row>
    <row r="1905" ht="22" customHeight="1">
      <c r="A1905" s="68" t="inlineStr">
        <is>
          <t>S147</t>
        </is>
      </c>
      <c r="B1905" s="69" t="inlineStr">
        <is>
          <t>SCT-013 CT clamp   ·   SCT-013-000 (100A)</t>
        </is>
      </c>
    </row>
    <row r="1906" outlineLevel="1" ht="15" customHeight="1">
      <c r="A1906" s="45" t="inlineStr">
        <is>
          <t>Category</t>
        </is>
      </c>
      <c r="B1906" s="12" t="inlineStr">
        <is>
          <t>Power &amp; Electrical › AC mains (non-invasive)</t>
        </is>
      </c>
      <c r="E1906" s="45" t="inlineStr">
        <is>
          <t>Measures</t>
        </is>
      </c>
      <c r="F1906" s="12" t="inlineStr">
        <is>
          <t>AC current up to 100A WITHOUT touching wiring</t>
        </is>
      </c>
    </row>
    <row r="1907" outlineLevel="1" ht="15" customHeight="1">
      <c r="A1907" s="45" t="inlineStr">
        <is>
          <t>Modality</t>
        </is>
      </c>
      <c r="B1907" s="12" t="inlineStr">
        <is>
          <t>Electrical</t>
        </is>
      </c>
      <c r="E1907" s="45" t="inlineStr">
        <is>
          <t>Interface</t>
        </is>
      </c>
      <c r="F1907" s="12" t="inlineStr">
        <is>
          <t>Analog</t>
        </is>
      </c>
    </row>
    <row r="1908" outlineLevel="1" ht="15" customHeight="1">
      <c r="A1908" s="45" t="inlineStr">
        <is>
          <t>Supply</t>
        </is>
      </c>
      <c r="B1908" s="12" t="inlineStr">
        <is>
          <t>passive</t>
        </is>
      </c>
      <c r="E1908" s="45" t="inlineStr">
        <is>
          <t>Price</t>
        </is>
      </c>
      <c r="F1908" s="12" t="inlineStr">
        <is>
          <t>$10  ($$)</t>
        </is>
      </c>
    </row>
    <row r="1909" outlineLevel="1" ht="15" customHeight="1">
      <c r="A1909" s="45" t="inlineStr">
        <is>
          <t>Difficulty</t>
        </is>
      </c>
      <c r="B1909" s="12" t="inlineStr">
        <is>
          <t>3 — Some skill — calibration, level shifting, timing, or datasheet reading required</t>
        </is>
      </c>
    </row>
    <row r="1910" outlineLevel="1" ht="25" customHeight="1">
      <c r="A1910" s="45" t="inlineStr">
        <is>
          <t>HOW</t>
        </is>
      </c>
      <c r="B1910" s="46" t="inlineStr">
        <is>
          <t>A split ferrite ring clips around one mains conductor; the magnetic field induces a proportional current in its coil — whole-house monitoring, no electrician.</t>
        </is>
      </c>
    </row>
    <row r="1911" outlineLevel="1" ht="58" customHeight="1">
      <c r="A1911" s="45" t="inlineStr">
        <is>
          <t>WHAT</t>
        </is>
      </c>
      <c r="B1911" s="47" t="inlineStr">
        <is>
          <t>It measures CURRENT only, so without a voltage reference you get apparent power (VA), not real power (W) — for anything with a motor or a switching supply those differ substantially and your energy figures will be wrong. It must clamp around ONE conductor: clamp around a whole flex containing live and neutral and it reads zero, which is the most common first-time failure. Never open-circuit a current transformer under load. Poor accuracy at low currents, so standby loads are close to invisible. The burden resistor and 1.65V bias network are not optional.</t>
        </is>
      </c>
    </row>
    <row r="1912" outlineLevel="1" ht="18" customHeight="1">
      <c r="A1912" s="45" t="inlineStr">
        <is>
          <t>COMMON</t>
        </is>
      </c>
      <c r="B1912" s="46" t="inlineStr">
        <is>
          <t>Whole-home energy dashboards, per-circuit submetering, solar export tracking.</t>
        </is>
      </c>
    </row>
    <row r="1913" outlineLevel="1" ht="24" customHeight="1">
      <c r="A1913" s="45" t="inlineStr">
        <is>
          <t>INVENTION</t>
        </is>
      </c>
      <c r="B1913" s="48" t="inlineStr">
        <is>
          <t>NILM — Non-Intrusive Load Monitoring: one clamp + ML disaggregates the kettle, dryer and AC from the aggregate waveform. A famous hard-fun problem.</t>
        </is>
      </c>
    </row>
    <row r="1914" outlineLevel="1" ht="19" customHeight="1">
      <c r="A1914" s="45" t="inlineStr">
        <is>
          <t>REQUIRES</t>
        </is>
      </c>
      <c r="B1914" s="46" t="inlineStr">
        <is>
          <t>Burden resistor and a 1.65V bias network; ADS1115 strongly recommended over the ESP32's own ADC</t>
        </is>
      </c>
    </row>
    <row r="1915" outlineLevel="1" ht="18" customHeight="1">
      <c r="A1915" s="45" t="inlineStr">
        <is>
          <t>SUBSTITUT</t>
        </is>
      </c>
      <c r="B1915" s="46" t="inlineStr">
        <is>
          <t>Complete metering with real power and energy: PZEM-004T. DC instead: INA226.</t>
        </is>
      </c>
    </row>
    <row r="1916" outlineLevel="1" ht="16" customHeight="1">
      <c r="A1916" s="45" t="inlineStr">
        <is>
          <t>PAIRS</t>
        </is>
      </c>
      <c r="B1916" s="46" t="inlineStr">
        <is>
          <t>ESP32 ADC @ high rate + EmonLib, TinyML disaggregation</t>
        </is>
      </c>
    </row>
    <row r="1917" outlineLevel="1" ht="15" customHeight="1">
      <c r="A1917" s="45" t="inlineStr">
        <is>
          <t>KEY</t>
        </is>
      </c>
      <c r="B1917" s="46" t="inlineStr">
        <is>
          <t>100A:50mA, needs burden resistor + 1.65V bias</t>
        </is>
      </c>
    </row>
    <row r="1918" outlineLevel="1" ht="28" customHeight="1">
      <c r="A1918" s="45" t="inlineStr">
        <is>
          <t>specs</t>
        </is>
      </c>
      <c r="B1918" s="49" t="inlineStr">
        <is>
          <t>Range: up to 100 A   Accuracy: ±3% with calibration   Rate: Needs kHz sampling for RMS   Calibration: Two-point   Environment: Indoor   Lifecycle: Active   Maturity: Good   ESP32: Use ADC1 at a high sample rate, or an ADS1115; ADC2 dies when Wi-Fi is on</t>
        </is>
      </c>
    </row>
    <row r="1919" outlineLevel="1" ht="22" customHeight="1">
      <c r="A1919" s="52" t="inlineStr">
        <is>
          <t>⚠</t>
        </is>
      </c>
      <c r="B1919" s="53" t="inlineStr">
        <is>
          <t>HAZARD: Mains — Connects to or measures mains AC — isolation and competence required</t>
        </is>
      </c>
    </row>
    <row r="1920" outlineLevel="1" ht="16" customHeight="1">
      <c r="A1920" s="45" t="inlineStr">
        <is>
          <t>buy</t>
        </is>
      </c>
      <c r="B1920" s="49" t="inlineStr">
        <is>
          <t>AE · AMZ · DK · CE   |   boards: SCT-013 + EmonTx-style frontend   |   lib: EmonLib (does the RMS math)   [High, 2026-07]</t>
        </is>
      </c>
    </row>
    <row r="1921" outlineLevel="1" ht="45" customHeight="1">
      <c r="A1921" s="50" t="inlineStr">
        <is>
          <t>unlocks</t>
        </is>
      </c>
      <c r="B1921" s="51" t="inlineStr">
        <is>
          <t>How much power is being used right now?  •  Which appliance just turned on?  •  Is it on?  •  Is it idle, loaded, or jammed?  •  Did someone leave it switched on?  •  What is draining power while doing nothing?  •  Is it drawing an abnormal amount of power?</t>
        </is>
      </c>
    </row>
    <row r="1923" ht="22" customHeight="1">
      <c r="A1923" s="54" t="inlineStr">
        <is>
          <t>S148</t>
        </is>
      </c>
      <c r="B1923" s="55" t="inlineStr">
        <is>
          <t>PZEM-004T AC power module   ·   PZEM-004T v3</t>
        </is>
      </c>
    </row>
    <row r="1924" outlineLevel="1" ht="15" customHeight="1">
      <c r="A1924" s="45" t="inlineStr">
        <is>
          <t>Category</t>
        </is>
      </c>
      <c r="B1924" s="12" t="inlineStr">
        <is>
          <t>Power &amp; Electrical › AC mains (metering)</t>
        </is>
      </c>
      <c r="E1924" s="45" t="inlineStr">
        <is>
          <t>Measures</t>
        </is>
      </c>
      <c r="F1924" s="12" t="inlineStr">
        <is>
          <t>Mains V, A, W, kWh, Hz, power factor — complete metering</t>
        </is>
      </c>
    </row>
    <row r="1925" outlineLevel="1" ht="15" customHeight="1">
      <c r="A1925" s="45" t="inlineStr">
        <is>
          <t>Modality</t>
        </is>
      </c>
      <c r="B1925" s="12" t="inlineStr">
        <is>
          <t>—</t>
        </is>
      </c>
      <c r="E1925" s="45" t="inlineStr">
        <is>
          <t>Interface</t>
        </is>
      </c>
      <c r="F1925" s="12" t="inlineStr">
        <is>
          <t>UART</t>
        </is>
      </c>
    </row>
    <row r="1926" outlineLevel="1" ht="15" customHeight="1">
      <c r="A1926" s="45" t="inlineStr">
        <is>
          <t>Supply</t>
        </is>
      </c>
      <c r="B1926" s="12" t="inlineStr">
        <is>
          <t>5V logic side</t>
        </is>
      </c>
      <c r="E1926" s="45" t="inlineStr">
        <is>
          <t>Price</t>
        </is>
      </c>
      <c r="F1926" s="12" t="inlineStr">
        <is>
          <t>$11  ($$)</t>
        </is>
      </c>
    </row>
    <row r="1927" outlineLevel="1" ht="15" customHeight="1">
      <c r="A1927" s="45" t="inlineStr">
        <is>
          <t>Difficulty</t>
        </is>
      </c>
      <c r="B1927" s="12" t="inlineStr">
        <is>
          <t>2 — Easy — breadboard wiring, a well-documented library, no analog thought needed</t>
        </is>
      </c>
    </row>
    <row r="1928" outlineLevel="1" ht="24" customHeight="1">
      <c r="A1928" s="45" t="inlineStr">
        <is>
          <t>HOW</t>
        </is>
      </c>
      <c r="B1928" s="46" t="inlineStr">
        <is>
          <t>A dedicated metering chip on an isolated UART module does all the hard AC math (true RMS, PF, energy) — your ESP32 just asks for numbers over Modbus.</t>
        </is>
      </c>
    </row>
    <row r="1929" outlineLevel="1" ht="18" customHeight="1">
      <c r="A1929" s="45" t="inlineStr">
        <is>
          <t>COMMON</t>
        </is>
      </c>
      <c r="B1929" s="46" t="inlineStr">
        <is>
          <t>DIY smart meters, appliance energy audits, Tasmota/ESPHome energy dashboards.</t>
        </is>
      </c>
    </row>
    <row r="1930" outlineLevel="1" ht="23" customHeight="1">
      <c r="A1930" s="45" t="inlineStr">
        <is>
          <t>INVENTION</t>
        </is>
      </c>
      <c r="B1930" s="48" t="inlineStr">
        <is>
          <t>An 'appliance lie detector' — measure what standby ACTUALLY costs per device, then auto-cut phantom loads above a threshold via smart plugs.</t>
        </is>
      </c>
    </row>
    <row r="1931" outlineLevel="1" ht="15" customHeight="1">
      <c r="A1931" s="45" t="inlineStr">
        <is>
          <t>PAIRS</t>
        </is>
      </c>
      <c r="B1931" s="46" t="inlineStr">
        <is>
          <t>ESPHome energy dashboard, relay bank</t>
        </is>
      </c>
    </row>
    <row r="1932" outlineLevel="1" ht="15" customHeight="1">
      <c r="A1932" s="45" t="inlineStr">
        <is>
          <t>KEY</t>
        </is>
      </c>
      <c r="B1932" s="46" t="inlineStr">
        <is>
          <t>0.5% class with CT or shunt versions, 10A/100A</t>
        </is>
      </c>
    </row>
    <row r="1933" outlineLevel="1" ht="16" customHeight="1">
      <c r="A1933" s="45" t="inlineStr">
        <is>
          <t>buy</t>
        </is>
      </c>
      <c r="B1933" s="49" t="inlineStr">
        <is>
          <t>AE · AMZ   |   boards: PZEM-004T-100A + CT   |   lib: PZEM004Tv30   [High]</t>
        </is>
      </c>
    </row>
    <row r="1935" ht="22" customHeight="1">
      <c r="A1935" s="54" t="inlineStr">
        <is>
          <t>S149</t>
        </is>
      </c>
      <c r="B1935" s="55" t="inlineStr">
        <is>
          <t>ZMPT101B voltage sensor   ·   ZMPT101B</t>
        </is>
      </c>
    </row>
    <row r="1936" outlineLevel="1" ht="15" customHeight="1">
      <c r="A1936" s="45" t="inlineStr">
        <is>
          <t>Category</t>
        </is>
      </c>
      <c r="B1936" s="12" t="inlineStr">
        <is>
          <t>Power &amp; Electrical › AC mains voltage</t>
        </is>
      </c>
      <c r="E1936" s="45" t="inlineStr">
        <is>
          <t>Measures</t>
        </is>
      </c>
      <c r="F1936" s="12" t="inlineStr">
        <is>
          <t>Mains AC voltage waveform (isolated)</t>
        </is>
      </c>
    </row>
    <row r="1937" outlineLevel="1" ht="15" customHeight="1">
      <c r="A1937" s="45" t="inlineStr">
        <is>
          <t>Modality</t>
        </is>
      </c>
      <c r="B1937" s="12" t="inlineStr">
        <is>
          <t>—</t>
        </is>
      </c>
      <c r="E1937" s="45" t="inlineStr">
        <is>
          <t>Interface</t>
        </is>
      </c>
      <c r="F1937" s="12" t="inlineStr">
        <is>
          <t>Analog</t>
        </is>
      </c>
    </row>
    <row r="1938" outlineLevel="1" ht="15" customHeight="1">
      <c r="A1938" s="45" t="inlineStr">
        <is>
          <t>Supply</t>
        </is>
      </c>
      <c r="B1938" s="12" t="inlineStr">
        <is>
          <t>3.3-5V</t>
        </is>
      </c>
      <c r="E1938" s="45" t="inlineStr">
        <is>
          <t>Price</t>
        </is>
      </c>
      <c r="F1938" s="12" t="inlineStr">
        <is>
          <t>$3  ($)</t>
        </is>
      </c>
    </row>
    <row r="1939" outlineLevel="1" ht="15" customHeight="1">
      <c r="A1939" s="45" t="inlineStr">
        <is>
          <t>Difficulty</t>
        </is>
      </c>
      <c r="B1939" s="12" t="inlineStr">
        <is>
          <t>2 — Easy — breadboard wiring, a well-documented library, no analog thought needed</t>
        </is>
      </c>
    </row>
    <row r="1940" outlineLevel="1" ht="22" customHeight="1">
      <c r="A1940" s="45" t="inlineStr">
        <is>
          <t>HOW</t>
        </is>
      </c>
      <c r="B1940" s="46" t="inlineStr">
        <is>
          <t>A tiny voltage transformer scales and isolates mains down to ADC level, preserving the waveform for RMS and power-quality math.</t>
        </is>
      </c>
    </row>
    <row r="1941" outlineLevel="1" ht="18" customHeight="1">
      <c r="A1941" s="45" t="inlineStr">
        <is>
          <t>COMMON</t>
        </is>
      </c>
      <c r="B1941" s="46" t="inlineStr">
        <is>
          <t>True power (W vs VA) with a CT clamp, brownout logging, generator/inverter QA.</t>
        </is>
      </c>
    </row>
    <row r="1942" outlineLevel="1" ht="23" customHeight="1">
      <c r="A1942" s="45" t="inlineStr">
        <is>
          <t>INVENTION</t>
        </is>
      </c>
      <c r="B1942" s="48" t="inlineStr">
        <is>
          <t>Grid-quality black box: log every sag, swell and frequency wobble — finally prove to the utility that 'your' problem is their problem.</t>
        </is>
      </c>
    </row>
    <row r="1943" outlineLevel="1" ht="16" customHeight="1">
      <c r="A1943" s="45" t="inlineStr">
        <is>
          <t>PAIRS</t>
        </is>
      </c>
      <c r="B1943" s="46" t="inlineStr">
        <is>
          <t>SCT-013 for full 4-quadrant power, SD event logs</t>
        </is>
      </c>
    </row>
    <row r="1944" outlineLevel="1" ht="15" customHeight="1">
      <c r="A1944" s="45" t="inlineStr">
        <is>
          <t>KEY</t>
        </is>
      </c>
      <c r="B1944" s="46" t="inlineStr">
        <is>
          <t>Onboard trim pot for gain; waveform-faithful</t>
        </is>
      </c>
    </row>
    <row r="1945" outlineLevel="1" ht="16" customHeight="1">
      <c r="A1945" s="45" t="inlineStr">
        <is>
          <t>buy</t>
        </is>
      </c>
      <c r="B1945" s="49" t="inlineStr">
        <is>
          <t>AE · AMZ · DFR   |   boards: ZMPT101B module   |   lib: EmonLib voltage channel   [High]</t>
        </is>
      </c>
    </row>
    <row r="1947" ht="22" customHeight="1">
      <c r="A1947" s="54" t="inlineStr">
        <is>
          <t>S150</t>
        </is>
      </c>
      <c r="B1947" s="55" t="inlineStr">
        <is>
          <t>MAX471 / shunt + ADS1115   ·   MAX471 / ADS1115 combo</t>
        </is>
      </c>
    </row>
    <row r="1948" outlineLevel="1" ht="15" customHeight="1">
      <c r="A1948" s="45" t="inlineStr">
        <is>
          <t>Category</t>
        </is>
      </c>
      <c r="B1948" s="12" t="inlineStr">
        <is>
          <t>Power &amp; Electrical › DC current (analog)</t>
        </is>
      </c>
      <c r="E1948" s="45" t="inlineStr">
        <is>
          <t>Measures</t>
        </is>
      </c>
      <c r="F1948" s="12" t="inlineStr">
        <is>
          <t>DC current via high-side shunt to spare ADC channels</t>
        </is>
      </c>
    </row>
    <row r="1949" outlineLevel="1" ht="15" customHeight="1">
      <c r="A1949" s="45" t="inlineStr">
        <is>
          <t>Modality</t>
        </is>
      </c>
      <c r="B1949" s="12" t="inlineStr">
        <is>
          <t>—</t>
        </is>
      </c>
      <c r="E1949" s="45" t="inlineStr">
        <is>
          <t>Interface</t>
        </is>
      </c>
      <c r="F1949" s="12" t="inlineStr">
        <is>
          <t>I2C / Analog</t>
        </is>
      </c>
    </row>
    <row r="1950" outlineLevel="1" ht="15" customHeight="1">
      <c r="A1950" s="45" t="inlineStr">
        <is>
          <t>Supply</t>
        </is>
      </c>
      <c r="B1950" s="12" t="inlineStr">
        <is>
          <t>3-36V sense</t>
        </is>
      </c>
      <c r="E1950" s="45" t="inlineStr">
        <is>
          <t>Price</t>
        </is>
      </c>
      <c r="F1950" s="12" t="inlineStr">
        <is>
          <t>$3  ($)</t>
        </is>
      </c>
    </row>
    <row r="1951" outlineLevel="1" ht="15" customHeight="1">
      <c r="A1951" s="45" t="inlineStr">
        <is>
          <t>Difficulty</t>
        </is>
      </c>
      <c r="B1951" s="12" t="inlineStr">
        <is>
          <t>2 — Easy — breadboard wiring, a well-documented library, no analog thought needed</t>
        </is>
      </c>
    </row>
    <row r="1952" outlineLevel="1" ht="22" customHeight="1">
      <c r="A1952" s="45" t="inlineStr">
        <is>
          <t>HOW</t>
        </is>
      </c>
      <c r="B1952" s="46" t="inlineStr">
        <is>
          <t>Classic high-side current monitor producing 1V/A — or roll your own with any shunt and the 16-bit ADS1115 for flexible ranges.</t>
        </is>
      </c>
    </row>
    <row r="1953" outlineLevel="1" ht="18" customHeight="1">
      <c r="A1953" s="45" t="inlineStr">
        <is>
          <t>COMMON</t>
        </is>
      </c>
      <c r="B1953" s="46" t="inlineStr">
        <is>
          <t>Multi-channel battery boards, motor arrays, anywhere INA addresses run out.</t>
        </is>
      </c>
    </row>
    <row r="1954" outlineLevel="1" ht="22" customHeight="1">
      <c r="A1954" s="45" t="inlineStr">
        <is>
          <t>INVENTION</t>
        </is>
      </c>
      <c r="B1954" s="48" t="inlineStr">
        <is>
          <t>A 16-channel power observatory (4x ADS1115) watching every rail and motor in a robot — find which subsystem eats the battery.</t>
        </is>
      </c>
    </row>
    <row r="1955" outlineLevel="1" ht="17" customHeight="1">
      <c r="A1955" s="45" t="inlineStr">
        <is>
          <t>PAIRS</t>
        </is>
      </c>
      <c r="B1955" s="46" t="inlineStr">
        <is>
          <t>ADS1115 as the universal analog upgrade for ESP32's mediocre ADC</t>
        </is>
      </c>
    </row>
    <row r="1956" outlineLevel="1" ht="16" customHeight="1">
      <c r="A1956" s="45" t="inlineStr">
        <is>
          <t>KEY</t>
        </is>
      </c>
      <c r="B1956" s="46" t="inlineStr">
        <is>
          <t>MAX471: ±3A; ADS1115 adds 16-bit precision anywhere</t>
        </is>
      </c>
    </row>
    <row r="1957" outlineLevel="1" ht="16" customHeight="1">
      <c r="A1957" s="45" t="inlineStr">
        <is>
          <t>buy</t>
        </is>
      </c>
      <c r="B1957" s="49" t="inlineStr">
        <is>
          <t>AE · AMZ · DK   |   boards: MAX471 module; ADS1115 breakout   |   lib: Adafruit_ADS1X15   [High]</t>
        </is>
      </c>
    </row>
    <row r="1959" ht="22" customHeight="1">
      <c r="A1959" s="54" t="inlineStr">
        <is>
          <t>S151</t>
        </is>
      </c>
      <c r="B1959" s="55" t="inlineStr">
        <is>
          <t>KY-040 rotary encoder   ·   KY-040 / EC11</t>
        </is>
      </c>
    </row>
    <row r="1960" outlineLevel="1" ht="15" customHeight="1">
      <c r="A1960" s="45" t="inlineStr">
        <is>
          <t>Category</t>
        </is>
      </c>
      <c r="B1960" s="12" t="inlineStr">
        <is>
          <t>Position &amp; Rotation › Incremental encoder</t>
        </is>
      </c>
      <c r="E1960" s="45" t="inlineStr">
        <is>
          <t>Measures</t>
        </is>
      </c>
      <c r="F1960" s="12" t="inlineStr">
        <is>
          <t>Knob rotation steps + direction + push-button</t>
        </is>
      </c>
    </row>
    <row r="1961" outlineLevel="1" ht="15" customHeight="1">
      <c r="A1961" s="45" t="inlineStr">
        <is>
          <t>Modality</t>
        </is>
      </c>
      <c r="B1961" s="12" t="inlineStr">
        <is>
          <t>—</t>
        </is>
      </c>
      <c r="E1961" s="45" t="inlineStr">
        <is>
          <t>Interface</t>
        </is>
      </c>
      <c r="F1961" s="12" t="inlineStr">
        <is>
          <t>Analog</t>
        </is>
      </c>
    </row>
    <row r="1962" outlineLevel="1" ht="15" customHeight="1">
      <c r="A1962" s="45" t="inlineStr">
        <is>
          <t>Supply</t>
        </is>
      </c>
      <c r="B1962" s="12" t="inlineStr">
        <is>
          <t>3.3-5V</t>
        </is>
      </c>
      <c r="E1962" s="45" t="inlineStr">
        <is>
          <t>Price</t>
        </is>
      </c>
      <c r="F1962" s="12" t="inlineStr">
        <is>
          <t>$1  ($)</t>
        </is>
      </c>
    </row>
    <row r="1963" outlineLevel="1" ht="15" customHeight="1">
      <c r="A1963" s="45" t="inlineStr">
        <is>
          <t>Difficulty</t>
        </is>
      </c>
      <c r="B1963" s="12" t="inlineStr">
        <is>
          <t>1 — Plug and play — Qwiic/STEMMA cable or 3 wires, library example works first time</t>
        </is>
      </c>
    </row>
    <row r="1964" outlineLevel="1" ht="23" customHeight="1">
      <c r="A1964" s="45" t="inlineStr">
        <is>
          <t>HOW</t>
        </is>
      </c>
      <c r="B1964" s="46" t="inlineStr">
        <is>
          <t>Two switch contacts open/close out of phase as the shaft turns; which one changes first tells direction. The standard 'infinite knob' UI input.</t>
        </is>
      </c>
    </row>
    <row r="1965" outlineLevel="1" ht="17" customHeight="1">
      <c r="A1965" s="45" t="inlineStr">
        <is>
          <t>COMMON</t>
        </is>
      </c>
      <c r="B1965" s="46" t="inlineStr">
        <is>
          <t>Menu navigation, volume knobs, jog wheels for CNC, scroll controls.</t>
        </is>
      </c>
    </row>
    <row r="1966" outlineLevel="1" ht="24" customHeight="1">
      <c r="A1966" s="45" t="inlineStr">
        <is>
          <t>INVENTION</t>
        </is>
      </c>
      <c r="B1966" s="48" t="inlineStr">
        <is>
          <t>ESP32's PCNT peripheral reads these in hardware — silky knob feel with zero missed steps even while Wi-Fi is busy. Most tutorials don't know this.</t>
        </is>
      </c>
    </row>
    <row r="1967" outlineLevel="1" ht="15" customHeight="1">
      <c r="A1967" s="45" t="inlineStr">
        <is>
          <t>PAIRS</t>
        </is>
      </c>
      <c r="B1967" s="46" t="inlineStr">
        <is>
          <t>OLED menus, BLE media-knob for your PC</t>
        </is>
      </c>
    </row>
    <row r="1968" outlineLevel="1" ht="15" customHeight="1">
      <c r="A1968" s="45" t="inlineStr">
        <is>
          <t>KEY</t>
        </is>
      </c>
      <c r="B1968" s="46" t="inlineStr">
        <is>
          <t>20 detents/rev typical; debounce in software/RC</t>
        </is>
      </c>
    </row>
    <row r="1969" outlineLevel="1" ht="16" customHeight="1">
      <c r="A1969" s="45" t="inlineStr">
        <is>
          <t>buy</t>
        </is>
      </c>
      <c r="B1969" s="49" t="inlineStr">
        <is>
          <t>AE · AMZ · SF · CE   |   boards: KY-040 module, bare EC11   |   lib: ESP32Encoder (uses PCNT!)   [High]</t>
        </is>
      </c>
    </row>
    <row r="1971" ht="22" customHeight="1">
      <c r="A1971" s="54" t="inlineStr">
        <is>
          <t>S152</t>
        </is>
      </c>
      <c r="B1971" s="55" t="inlineStr">
        <is>
          <t>AS5600 magnetic angle   ·   AS5600</t>
        </is>
      </c>
    </row>
    <row r="1972" outlineLevel="1" ht="15" customHeight="1">
      <c r="A1972" s="45" t="inlineStr">
        <is>
          <t>Category</t>
        </is>
      </c>
      <c r="B1972" s="12" t="inlineStr">
        <is>
          <t>Position &amp; Rotation › Absolute angle</t>
        </is>
      </c>
      <c r="E1972" s="45" t="inlineStr">
        <is>
          <t>Measures</t>
        </is>
      </c>
      <c r="F1972" s="12" t="inlineStr">
        <is>
          <t>Absolute shaft angle 0-360° contactlessly</t>
        </is>
      </c>
    </row>
    <row r="1973" outlineLevel="1" ht="15" customHeight="1">
      <c r="A1973" s="45" t="inlineStr">
        <is>
          <t>Modality</t>
        </is>
      </c>
      <c r="B1973" s="12" t="inlineStr">
        <is>
          <t>—</t>
        </is>
      </c>
      <c r="E1973" s="45" t="inlineStr">
        <is>
          <t>Interface</t>
        </is>
      </c>
      <c r="F1973" s="12" t="inlineStr">
        <is>
          <t>I2C / PWM / Analog</t>
        </is>
      </c>
    </row>
    <row r="1974" outlineLevel="1" ht="15" customHeight="1">
      <c r="A1974" s="45" t="inlineStr">
        <is>
          <t>Supply</t>
        </is>
      </c>
      <c r="B1974" s="12" t="inlineStr">
        <is>
          <t>3.3/5V</t>
        </is>
      </c>
      <c r="E1974" s="45" t="inlineStr">
        <is>
          <t>Price</t>
        </is>
      </c>
      <c r="F1974" s="12" t="inlineStr">
        <is>
          <t>$3  ($)</t>
        </is>
      </c>
    </row>
    <row r="1975" outlineLevel="1" ht="15" customHeight="1">
      <c r="A1975" s="45" t="inlineStr">
        <is>
          <t>Difficulty</t>
        </is>
      </c>
      <c r="B1975" s="12" t="inlineStr">
        <is>
          <t>2 — Easy — breadboard wiring, a well-documented library, no analog thought needed</t>
        </is>
      </c>
    </row>
    <row r="1976" outlineLevel="1" ht="24" customHeight="1">
      <c r="A1976" s="45" t="inlineStr">
        <is>
          <t>HOW</t>
        </is>
      </c>
      <c r="B1976" s="46" t="inlineStr">
        <is>
          <t>A diametric magnet on the shaft end rotates over a Hall array; the chip outputs absolute angle at 12-bit — encoder feel with zero wear, zero contact.</t>
        </is>
      </c>
    </row>
    <row r="1977" outlineLevel="1" ht="18" customHeight="1">
      <c r="A1977" s="45" t="inlineStr">
        <is>
          <t>COMMON</t>
        </is>
      </c>
      <c r="B1977" s="46" t="inlineStr">
        <is>
          <t>BLDC motor FOC feedback, wind vanes, custom servos, knob-with-detents-in-software.</t>
        </is>
      </c>
    </row>
    <row r="1978" outlineLevel="1" ht="23" customHeight="1">
      <c r="A1978" s="45" t="inlineStr">
        <is>
          <t>INVENTION</t>
        </is>
      </c>
      <c r="B1978" s="48" t="inlineStr">
        <is>
          <t>The heart of SimpleFOC builds: gimbal motor + AS5600 = a force-feedback haptic knob that can render clicks, springs and walls in software.</t>
        </is>
      </c>
    </row>
    <row r="1979" outlineLevel="1" ht="15" customHeight="1">
      <c r="A1979" s="45" t="inlineStr">
        <is>
          <t>PAIRS</t>
        </is>
      </c>
      <c r="B1979" s="46" t="inlineStr">
        <is>
          <t>SimpleFOC + gimbal motor = haptic interface</t>
        </is>
      </c>
    </row>
    <row r="1980" outlineLevel="1" ht="15" customHeight="1">
      <c r="A1980" s="45" t="inlineStr">
        <is>
          <t>KEY</t>
        </is>
      </c>
      <c r="B1980" s="46" t="inlineStr">
        <is>
          <t>12-bit (0.088°), magnet gap matters</t>
        </is>
      </c>
    </row>
    <row r="1981" outlineLevel="1" ht="16" customHeight="1">
      <c r="A1981" s="45" t="inlineStr">
        <is>
          <t>buy</t>
        </is>
      </c>
      <c r="B1981" s="49" t="inlineStr">
        <is>
          <t>AE · DK · SF · DFR   |   boards: AS5600 module + magnet   |   lib: AS5600 libs, SimpleFOC   [High]</t>
        </is>
      </c>
    </row>
    <row r="1983" ht="22" customHeight="1">
      <c r="A1983" s="54" t="inlineStr">
        <is>
          <t>S153</t>
        </is>
      </c>
      <c r="B1983" s="55" t="inlineStr">
        <is>
          <t>600/1024PPR optical encoder   ·   LPD3806-600BM</t>
        </is>
      </c>
    </row>
    <row r="1984" outlineLevel="1" ht="15" customHeight="1">
      <c r="A1984" s="45" t="inlineStr">
        <is>
          <t>Category</t>
        </is>
      </c>
      <c r="B1984" s="12" t="inlineStr">
        <is>
          <t>Position &amp; Rotation › Industrial incremental</t>
        </is>
      </c>
      <c r="E1984" s="45" t="inlineStr">
        <is>
          <t>Measures</t>
        </is>
      </c>
      <c r="F1984" s="12" t="inlineStr">
        <is>
          <t>Precise shaft rotation (600-1024 pulses/rev)</t>
        </is>
      </c>
    </row>
    <row r="1985" outlineLevel="1" ht="15" customHeight="1">
      <c r="A1985" s="45" t="inlineStr">
        <is>
          <t>Modality</t>
        </is>
      </c>
      <c r="B1985" s="12" t="inlineStr">
        <is>
          <t>—</t>
        </is>
      </c>
      <c r="E1985" s="45" t="inlineStr">
        <is>
          <t>Interface</t>
        </is>
      </c>
      <c r="F1985" s="12" t="inlineStr">
        <is>
          <t>Pulse</t>
        </is>
      </c>
    </row>
    <row r="1986" outlineLevel="1" ht="15" customHeight="1">
      <c r="A1986" s="45" t="inlineStr">
        <is>
          <t>Supply</t>
        </is>
      </c>
      <c r="B1986" s="12" t="inlineStr">
        <is>
          <t>5-24V</t>
        </is>
      </c>
      <c r="E1986" s="45" t="inlineStr">
        <is>
          <t>Price</t>
        </is>
      </c>
      <c r="F1986" s="12" t="inlineStr">
        <is>
          <t>$12  ($$)</t>
        </is>
      </c>
    </row>
    <row r="1987" outlineLevel="1" ht="15" customHeight="1">
      <c r="A1987" s="45" t="inlineStr">
        <is>
          <t>Difficulty</t>
        </is>
      </c>
      <c r="B1987" s="12" t="inlineStr">
        <is>
          <t>2 — Easy — breadboard wiring, a well-documented library, no analog thought needed</t>
        </is>
      </c>
    </row>
    <row r="1988" outlineLevel="1" ht="23" customHeight="1">
      <c r="A1988" s="45" t="inlineStr">
        <is>
          <t>HOW</t>
        </is>
      </c>
      <c r="B1988" s="46" t="inlineStr">
        <is>
          <t>An LED shines through a slotted disc onto photodetectors; quadrature outputs give fine angle and direction at industrial robustness.</t>
        </is>
      </c>
    </row>
    <row r="1989" outlineLevel="1" ht="19" customHeight="1">
      <c r="A1989" s="45" t="inlineStr">
        <is>
          <t>COMMON</t>
        </is>
      </c>
      <c r="B1989" s="46" t="inlineStr">
        <is>
          <t>Conveyor measurement, cable-length payout meters, motorised stage feedback, DIY CNC jog.</t>
        </is>
      </c>
    </row>
    <row r="1990" outlineLevel="1" ht="21" customHeight="1">
      <c r="A1990" s="45" t="inlineStr">
        <is>
          <t>INVENTION</t>
        </is>
      </c>
      <c r="B1990" s="48" t="inlineStr">
        <is>
          <t>A rope/cable measuring wheel: encoder + wheel = surveyor's walking meter, or 'how deep is the well' payout counter.</t>
        </is>
      </c>
    </row>
    <row r="1991" outlineLevel="1" ht="15" customHeight="1">
      <c r="A1991" s="45" t="inlineStr">
        <is>
          <t>PAIRS</t>
        </is>
      </c>
      <c r="B1991" s="46" t="inlineStr">
        <is>
          <t>PCNT hardware counting, OLED tally</t>
        </is>
      </c>
    </row>
    <row r="1992" outlineLevel="1" ht="15" customHeight="1">
      <c r="A1992" s="45" t="inlineStr">
        <is>
          <t>KEY</t>
        </is>
      </c>
      <c r="B1992" s="46" t="inlineStr">
        <is>
          <t>600PPR ×4 = 2400 counts/rev, NPN open collector</t>
        </is>
      </c>
    </row>
    <row r="1993" outlineLevel="1" ht="16" customHeight="1">
      <c r="A1993" s="45" t="inlineStr">
        <is>
          <t>buy</t>
        </is>
      </c>
      <c r="B1993" s="49" t="inlineStr">
        <is>
          <t>AE · AMZ   |   boards: LPD3806 housed unit   |   lib: ESP32Encoder   [High]</t>
        </is>
      </c>
    </row>
    <row r="1995" ht="22" customHeight="1">
      <c r="A1995" s="54" t="inlineStr">
        <is>
          <t>S154</t>
        </is>
      </c>
      <c r="B1995" s="55" t="inlineStr">
        <is>
          <t>Linear potentiometer / softpot   ·   SoftPot SP-L-100 / sliders</t>
        </is>
      </c>
    </row>
    <row r="1996" outlineLevel="1" ht="15" customHeight="1">
      <c r="A1996" s="45" t="inlineStr">
        <is>
          <t>Category</t>
        </is>
      </c>
      <c r="B1996" s="12" t="inlineStr">
        <is>
          <t>Position &amp; Rotation › Linear position</t>
        </is>
      </c>
      <c r="E1996" s="45" t="inlineStr">
        <is>
          <t>Measures</t>
        </is>
      </c>
      <c r="F1996" s="12" t="inlineStr">
        <is>
          <t>Absolute position along a strip/track</t>
        </is>
      </c>
    </row>
    <row r="1997" outlineLevel="1" ht="15" customHeight="1">
      <c r="A1997" s="45" t="inlineStr">
        <is>
          <t>Modality</t>
        </is>
      </c>
      <c r="B1997" s="12" t="inlineStr">
        <is>
          <t>—</t>
        </is>
      </c>
      <c r="E1997" s="45" t="inlineStr">
        <is>
          <t>Interface</t>
        </is>
      </c>
      <c r="F1997" s="12" t="inlineStr">
        <is>
          <t>Analog</t>
        </is>
      </c>
    </row>
    <row r="1998" outlineLevel="1" ht="15" customHeight="1">
      <c r="A1998" s="45" t="inlineStr">
        <is>
          <t>Supply</t>
        </is>
      </c>
      <c r="B1998" s="12" t="inlineStr">
        <is>
          <t>any</t>
        </is>
      </c>
      <c r="E1998" s="45" t="inlineStr">
        <is>
          <t>Price</t>
        </is>
      </c>
      <c r="F1998" s="12" t="inlineStr">
        <is>
          <t>$6  ($$)</t>
        </is>
      </c>
    </row>
    <row r="1999" outlineLevel="1" ht="15" customHeight="1">
      <c r="A1999" s="45" t="inlineStr">
        <is>
          <t>Difficulty</t>
        </is>
      </c>
      <c r="B1999" s="12" t="inlineStr">
        <is>
          <t>1 — Plug and play — Qwiic/STEMMA cable or 3 wires, library example works first time</t>
        </is>
      </c>
    </row>
    <row r="2000" outlineLevel="1" ht="22" customHeight="1">
      <c r="A2000" s="45" t="inlineStr">
        <is>
          <t>HOW</t>
        </is>
      </c>
      <c r="B2000" s="46" t="inlineStr">
        <is>
          <t>A voltage divider whose wiper is your finger (membrane SoftPot) or a mechanical slider — position becomes a simple analog voltage.</t>
        </is>
      </c>
    </row>
    <row r="2001" outlineLevel="1" ht="18" customHeight="1">
      <c r="A2001" s="45" t="inlineStr">
        <is>
          <t>COMMON</t>
        </is>
      </c>
      <c r="B2001" s="46" t="inlineStr">
        <is>
          <t>Fader UIs, liquid-level floats on a track, throttle inputs, exhibit sliders.</t>
        </is>
      </c>
    </row>
    <row r="2002" outlineLevel="1" ht="21" customHeight="1">
      <c r="A2002" s="45" t="inlineStr">
        <is>
          <t>INVENTION</t>
        </is>
      </c>
      <c r="B2002" s="48" t="inlineStr">
        <is>
          <t>A 'time machine' lamp: slide position = sunrise→noon→sunset colour temperature. Tangible control beats apps.</t>
        </is>
      </c>
    </row>
    <row r="2003" outlineLevel="1" ht="16" customHeight="1">
      <c r="A2003" s="45" t="inlineStr">
        <is>
          <t>PAIRS</t>
        </is>
      </c>
      <c r="B2003" s="46" t="inlineStr">
        <is>
          <t>PWM CCT LED strips, motorised faders for two-way sync</t>
        </is>
      </c>
    </row>
    <row r="2004" outlineLevel="1" ht="16" customHeight="1">
      <c r="A2004" s="45" t="inlineStr">
        <is>
          <t>KEY</t>
        </is>
      </c>
      <c r="B2004" s="46" t="inlineStr">
        <is>
          <t>SoftPot: 100mm membrane, mechanical: 60-100mm travel</t>
        </is>
      </c>
    </row>
    <row r="2005" outlineLevel="1" ht="16" customHeight="1">
      <c r="A2005" s="45" t="inlineStr">
        <is>
          <t>buy</t>
        </is>
      </c>
      <c r="B2005" s="49" t="inlineStr">
        <is>
          <t>SF · AF · DK · AE   |   boards: SoftPot strips, slide pots   |   lib: analogRead   [High]</t>
        </is>
      </c>
    </row>
    <row r="2007" ht="22" customHeight="1">
      <c r="A2007" s="54" t="inlineStr">
        <is>
          <t>S155</t>
        </is>
      </c>
      <c r="B2007" s="55" t="inlineStr">
        <is>
          <t>VL6180X short-range ToF   ·   VL6180X</t>
        </is>
      </c>
    </row>
    <row r="2008" outlineLevel="1" ht="15" customHeight="1">
      <c r="A2008" s="45" t="inlineStr">
        <is>
          <t>Category</t>
        </is>
      </c>
      <c r="B2008" s="12" t="inlineStr">
        <is>
          <t>Position &amp; Rotation › Short precise distance</t>
        </is>
      </c>
      <c r="E2008" s="45" t="inlineStr">
        <is>
          <t>Measures</t>
        </is>
      </c>
      <c r="F2008" s="12" t="inlineStr">
        <is>
          <t>0-100mm distance with mm precision + lux</t>
        </is>
      </c>
    </row>
    <row r="2009" outlineLevel="1" ht="15" customHeight="1">
      <c r="A2009" s="45" t="inlineStr">
        <is>
          <t>Modality</t>
        </is>
      </c>
      <c r="B2009" s="12" t="inlineStr">
        <is>
          <t>—</t>
        </is>
      </c>
      <c r="E2009" s="45" t="inlineStr">
        <is>
          <t>Interface</t>
        </is>
      </c>
      <c r="F2009" s="12" t="inlineStr">
        <is>
          <t>I2C</t>
        </is>
      </c>
    </row>
    <row r="2010" outlineLevel="1" ht="15" customHeight="1">
      <c r="A2010" s="45" t="inlineStr">
        <is>
          <t>Supply</t>
        </is>
      </c>
      <c r="B2010" s="12" t="inlineStr">
        <is>
          <t>2.8V (boards 3.3-5V)</t>
        </is>
      </c>
      <c r="E2010" s="45" t="inlineStr">
        <is>
          <t>Price</t>
        </is>
      </c>
      <c r="F2010" s="12" t="inlineStr">
        <is>
          <t>$8  ($$)</t>
        </is>
      </c>
    </row>
    <row r="2011" outlineLevel="1" ht="15" customHeight="1">
      <c r="A2011" s="45" t="inlineStr">
        <is>
          <t>Difficulty</t>
        </is>
      </c>
      <c r="B2011" s="12" t="inlineStr">
        <is>
          <t>1 — Plug and play — Qwiic/STEMMA cable or 3 wires, library example works first time</t>
        </is>
      </c>
    </row>
    <row r="2012" outlineLevel="1" ht="22" customHeight="1">
      <c r="A2012" s="45" t="inlineStr">
        <is>
          <t>HOW</t>
        </is>
      </c>
      <c r="B2012" s="46" t="inlineStr">
        <is>
          <t>Time-of-flight tuned for very short range — millimetre answers in the zone where VL53L0X is blind and ultrasound is hopeless.</t>
        </is>
      </c>
    </row>
    <row r="2013" outlineLevel="1" ht="20" customHeight="1">
      <c r="A2013" s="45" t="inlineStr">
        <is>
          <t>COMMON</t>
        </is>
      </c>
      <c r="B2013" s="46" t="inlineStr">
        <is>
          <t>Filament-width-adjacent jobs, button-less elevator panels, finger-hover UIs, part-presence in jigs.</t>
        </is>
      </c>
    </row>
    <row r="2014" outlineLevel="1" ht="24" customHeight="1">
      <c r="A2014" s="45" t="inlineStr">
        <is>
          <t>INVENTION</t>
        </is>
      </c>
      <c r="B2014" s="48" t="inlineStr">
        <is>
          <t>Hover buttons for sterile spaces: a row of VL6180X behind glass = a control panel nobody ever touches — fingertip distance even gives you 'pressure'.</t>
        </is>
      </c>
    </row>
    <row r="2015" outlineLevel="1" ht="15" customHeight="1">
      <c r="A2015" s="45" t="inlineStr">
        <is>
          <t>PAIRS</t>
        </is>
      </c>
      <c r="B2015" s="46" t="inlineStr">
        <is>
          <t>WS2812 feedback per 'button', MPR121 hybrid</t>
        </is>
      </c>
    </row>
    <row r="2016" outlineLevel="1" ht="16" customHeight="1">
      <c r="A2016" s="45" t="inlineStr">
        <is>
          <t>KEY</t>
        </is>
      </c>
      <c r="B2016" s="46" t="inlineStr">
        <is>
          <t>±1mm class at 0-100mm, ambient light sensor included</t>
        </is>
      </c>
    </row>
    <row r="2017" outlineLevel="1" ht="16" customHeight="1">
      <c r="A2017" s="45" t="inlineStr">
        <is>
          <t>buy</t>
        </is>
      </c>
      <c r="B2017" s="49" t="inlineStr">
        <is>
          <t>AF · SF · PI · DK   |   boards: Adafruit 3316   |   lib: Adafruit_VL6180X   [High]</t>
        </is>
      </c>
    </row>
    <row r="2019" ht="22" customHeight="1">
      <c r="A2019" s="54" t="inlineStr">
        <is>
          <t>S156</t>
        </is>
      </c>
      <c r="B2019" s="55" t="inlineStr">
        <is>
          <t>Joystick module   ·   KY-023 dual-axis</t>
        </is>
      </c>
    </row>
    <row r="2020" outlineLevel="1" ht="15" customHeight="1">
      <c r="A2020" s="45" t="inlineStr">
        <is>
          <t>Category</t>
        </is>
      </c>
      <c r="B2020" s="12" t="inlineStr">
        <is>
          <t>Position &amp; Rotation › 2-axis analog</t>
        </is>
      </c>
      <c r="E2020" s="45" t="inlineStr">
        <is>
          <t>Measures</t>
        </is>
      </c>
      <c r="F2020" s="12" t="inlineStr">
        <is>
          <t>X/Y deflection + press</t>
        </is>
      </c>
    </row>
    <row r="2021" outlineLevel="1" ht="15" customHeight="1">
      <c r="A2021" s="45" t="inlineStr">
        <is>
          <t>Modality</t>
        </is>
      </c>
      <c r="B2021" s="12" t="inlineStr">
        <is>
          <t>—</t>
        </is>
      </c>
      <c r="E2021" s="45" t="inlineStr">
        <is>
          <t>Interface</t>
        </is>
      </c>
      <c r="F2021" s="12" t="inlineStr">
        <is>
          <t>Analog</t>
        </is>
      </c>
    </row>
    <row r="2022" outlineLevel="1" ht="15" customHeight="1">
      <c r="A2022" s="45" t="inlineStr">
        <is>
          <t>Supply</t>
        </is>
      </c>
      <c r="B2022" s="12" t="inlineStr">
        <is>
          <t>3.3-5V</t>
        </is>
      </c>
      <c r="E2022" s="45" t="inlineStr">
        <is>
          <t>Price</t>
        </is>
      </c>
      <c r="F2022" s="12" t="inlineStr">
        <is>
          <t>$1.5  ($)</t>
        </is>
      </c>
    </row>
    <row r="2023" outlineLevel="1" ht="15" customHeight="1">
      <c r="A2023" s="45" t="inlineStr">
        <is>
          <t>Difficulty</t>
        </is>
      </c>
      <c r="B2023" s="12" t="inlineStr">
        <is>
          <t>1 — Plug and play — Qwiic/STEMMA cable or 3 wires, library example works first time</t>
        </is>
      </c>
    </row>
    <row r="2024" outlineLevel="1" ht="21" customHeight="1">
      <c r="A2024" s="45" t="inlineStr">
        <is>
          <t>HOW</t>
        </is>
      </c>
      <c r="B2024" s="46" t="inlineStr">
        <is>
          <t>Two potentiometers on a gimbal — the PlayStation-style thumbstick as a raw part, two ADC reads and a button.</t>
        </is>
      </c>
    </row>
    <row r="2025" outlineLevel="1" ht="18" customHeight="1">
      <c r="A2025" s="45" t="inlineStr">
        <is>
          <t>COMMON</t>
        </is>
      </c>
      <c r="B2025" s="46" t="inlineStr">
        <is>
          <t>Robot teleop, camera gimbal control, menu navigation, wheelchair-style inputs.</t>
        </is>
      </c>
    </row>
    <row r="2026" outlineLevel="1" ht="22" customHeight="1">
      <c r="A2026" s="45" t="inlineStr">
        <is>
          <t>INVENTION</t>
        </is>
      </c>
      <c r="B2026" s="48" t="inlineStr">
        <is>
          <t>ESP-NOW teleop in 30 minutes: joystick node → robot node, sub-10ms latency, no router needed. The gateway to telepresence builds.</t>
        </is>
      </c>
    </row>
    <row r="2027" outlineLevel="1" ht="15" customHeight="1">
      <c r="A2027" s="45" t="inlineStr">
        <is>
          <t>PAIRS</t>
        </is>
      </c>
      <c r="B2027" s="46" t="inlineStr">
        <is>
          <t>ESP-NOW pair, servos/motor drivers</t>
        </is>
      </c>
    </row>
    <row r="2028" outlineLevel="1" ht="15" customHeight="1">
      <c r="A2028" s="45" t="inlineStr">
        <is>
          <t>KEY</t>
        </is>
      </c>
      <c r="B2028" s="46" t="inlineStr">
        <is>
          <t>Centre-sprung, ~±30°</t>
        </is>
      </c>
    </row>
    <row r="2029" outlineLevel="1" ht="16" customHeight="1">
      <c r="A2029" s="45" t="inlineStr">
        <is>
          <t>buy</t>
        </is>
      </c>
      <c r="B2029" s="49" t="inlineStr">
        <is>
          <t>AE · AMZ · SF · CE   |   boards: KY-023   |   lib: analogRead   [High]</t>
        </is>
      </c>
    </row>
    <row r="2031" ht="22" customHeight="1">
      <c r="A2031" s="54" t="inlineStr">
        <is>
          <t>S157</t>
        </is>
      </c>
      <c r="B2031" s="55" t="inlineStr">
        <is>
          <t>NEO-6M GPS   ·   u-blox NEO-6M (GY-GPS6MV2)</t>
        </is>
      </c>
    </row>
    <row r="2032" outlineLevel="1" ht="15" customHeight="1">
      <c r="A2032" s="45" t="inlineStr">
        <is>
          <t>Category</t>
        </is>
      </c>
      <c r="B2032" s="12" t="inlineStr">
        <is>
          <t>GNSS &amp; Positioning › Standard GNSS</t>
        </is>
      </c>
      <c r="E2032" s="45" t="inlineStr">
        <is>
          <t>Measures</t>
        </is>
      </c>
      <c r="F2032" s="12" t="inlineStr">
        <is>
          <t>Latitude/longitude/altitude/speed/time, ~2.5m</t>
        </is>
      </c>
    </row>
    <row r="2033" outlineLevel="1" ht="15" customHeight="1">
      <c r="A2033" s="45" t="inlineStr">
        <is>
          <t>Modality</t>
        </is>
      </c>
      <c r="B2033" s="12" t="inlineStr">
        <is>
          <t>—</t>
        </is>
      </c>
      <c r="E2033" s="45" t="inlineStr">
        <is>
          <t>Interface</t>
        </is>
      </c>
      <c r="F2033" s="12" t="inlineStr">
        <is>
          <t>UART</t>
        </is>
      </c>
    </row>
    <row r="2034" outlineLevel="1" ht="15" customHeight="1">
      <c r="A2034" s="45" t="inlineStr">
        <is>
          <t>Supply</t>
        </is>
      </c>
      <c r="B2034" s="12" t="inlineStr">
        <is>
          <t>3.3-5V</t>
        </is>
      </c>
      <c r="E2034" s="45" t="inlineStr">
        <is>
          <t>Price</t>
        </is>
      </c>
      <c r="F2034" s="12" t="inlineStr">
        <is>
          <t>$8  ($$)</t>
        </is>
      </c>
    </row>
    <row r="2035" outlineLevel="1" ht="15" customHeight="1">
      <c r="A2035" s="45" t="inlineStr">
        <is>
          <t>Difficulty</t>
        </is>
      </c>
      <c r="B2035" s="12" t="inlineStr">
        <is>
          <t>1 — Plug and play — Qwiic/STEMMA cable or 3 wires, library example works first time</t>
        </is>
      </c>
    </row>
    <row r="2036" outlineLevel="1" ht="25" customHeight="1">
      <c r="A2036" s="45" t="inlineStr">
        <is>
          <t>HOW</t>
        </is>
      </c>
      <c r="B2036" s="46" t="inlineStr">
        <is>
          <t>Times radio signals from multiple satellites; the nanosecond differences triangulate your position anywhere on Earth. Streams standard NMEA sentences over UART.</t>
        </is>
      </c>
    </row>
    <row r="2037" outlineLevel="1" ht="19" customHeight="1">
      <c r="A2037" s="45" t="inlineStr">
        <is>
          <t>COMMON</t>
        </is>
      </c>
      <c r="B2037" s="46" t="inlineStr">
        <is>
          <t>Vehicle trackers, pet/asset tags, hiking loggers, drone telemetry, precise time source.</t>
        </is>
      </c>
    </row>
    <row r="2038" outlineLevel="1" ht="22" customHeight="1">
      <c r="A2038" s="45" t="inlineStr">
        <is>
          <t>INVENTION</t>
        </is>
      </c>
      <c r="B2038" s="48" t="inlineStr">
        <is>
          <t>Geofenced everything: tools that text you when they leave the property, a dog door that knows YOUR dog's collar is approaching.</t>
        </is>
      </c>
    </row>
    <row r="2039" outlineLevel="1" ht="15" customHeight="1">
      <c r="A2039" s="45" t="inlineStr">
        <is>
          <t>PAIRS</t>
        </is>
      </c>
      <c r="B2039" s="46" t="inlineStr">
        <is>
          <t>LoRa for offline tracking, SD breadcrumb logs</t>
        </is>
      </c>
    </row>
    <row r="2040" outlineLevel="1" ht="15" customHeight="1">
      <c r="A2040" s="45" t="inlineStr">
        <is>
          <t>KEY</t>
        </is>
      </c>
      <c r="B2040" s="46" t="inlineStr">
        <is>
          <t>2.5m CEP, 5Hz max, cold start ~30s</t>
        </is>
      </c>
    </row>
    <row r="2041" outlineLevel="1" ht="16" customHeight="1">
      <c r="A2041" s="45" t="inlineStr">
        <is>
          <t>buy</t>
        </is>
      </c>
      <c r="B2041" s="49" t="inlineStr">
        <is>
          <t>AE · AMZ · DFR · CE   |   boards: GY-GPS6MV2 with antenna   |   lib: TinyGPSPlus   [High]</t>
        </is>
      </c>
    </row>
    <row r="2043" ht="22" customHeight="1">
      <c r="A2043" s="54" t="inlineStr">
        <is>
          <t>S158</t>
        </is>
      </c>
      <c r="B2043" s="55" t="inlineStr">
        <is>
          <t>u-blox M10 GNSS   ·   MAX-M10S / NEO-M9N</t>
        </is>
      </c>
    </row>
    <row r="2044" outlineLevel="1" ht="15" customHeight="1">
      <c r="A2044" s="45" t="inlineStr">
        <is>
          <t>Category</t>
        </is>
      </c>
      <c r="B2044" s="12" t="inlineStr">
        <is>
          <t>GNSS &amp; Positioning › Modern multi-band</t>
        </is>
      </c>
      <c r="E2044" s="45" t="inlineStr">
        <is>
          <t>Measures</t>
        </is>
      </c>
      <c r="F2044" s="12" t="inlineStr">
        <is>
          <t>Position from GPS+Galileo+GLONASS+BeiDou simultaneously</t>
        </is>
      </c>
    </row>
    <row r="2045" outlineLevel="1" ht="15" customHeight="1">
      <c r="A2045" s="45" t="inlineStr">
        <is>
          <t>Modality</t>
        </is>
      </c>
      <c r="B2045" s="12" t="inlineStr">
        <is>
          <t>—</t>
        </is>
      </c>
      <c r="E2045" s="45" t="inlineStr">
        <is>
          <t>Interface</t>
        </is>
      </c>
      <c r="F2045" s="12" t="inlineStr">
        <is>
          <t>I2C / UART</t>
        </is>
      </c>
    </row>
    <row r="2046" outlineLevel="1" ht="15" customHeight="1">
      <c r="A2046" s="45" t="inlineStr">
        <is>
          <t>Supply</t>
        </is>
      </c>
      <c r="B2046" s="12" t="inlineStr">
        <is>
          <t>3.3V</t>
        </is>
      </c>
      <c r="E2046" s="45" t="inlineStr">
        <is>
          <t>Price</t>
        </is>
      </c>
      <c r="F2046" s="12" t="inlineStr">
        <is>
          <t>$20  ($$$)</t>
        </is>
      </c>
    </row>
    <row r="2047" outlineLevel="1" ht="15" customHeight="1">
      <c r="A2047" s="45" t="inlineStr">
        <is>
          <t>Difficulty</t>
        </is>
      </c>
      <c r="B2047" s="12" t="inlineStr">
        <is>
          <t>2 — Easy — breadboard wiring, a well-documented library, no analog thought needed</t>
        </is>
      </c>
    </row>
    <row r="2048" outlineLevel="1" ht="23" customHeight="1">
      <c r="A2048" s="45" t="inlineStr">
        <is>
          <t>HOW</t>
        </is>
      </c>
      <c r="B2048" s="46" t="inlineStr">
        <is>
          <t>Tracks four satellite constellations at once for faster fixes and ~1.5m accuracy in cities where single-constellation GPS struggles.</t>
        </is>
      </c>
    </row>
    <row r="2049" outlineLevel="1" ht="18" customHeight="1">
      <c r="A2049" s="45" t="inlineStr">
        <is>
          <t>COMMON</t>
        </is>
      </c>
      <c r="B2049" s="46" t="inlineStr">
        <is>
          <t>City delivery trackers, fitness devices, fleet telematics, balloon payloads.</t>
        </is>
      </c>
    </row>
    <row r="2050" outlineLevel="1" ht="21" customHeight="1">
      <c r="A2050" s="45" t="inlineStr">
        <is>
          <t>INVENTION</t>
        </is>
      </c>
      <c r="B2050" s="48" t="inlineStr">
        <is>
          <t>A 'walk-your-city' generative art logger: months of GPS traces engraved into one map poster — your year as ink density.</t>
        </is>
      </c>
    </row>
    <row r="2051" outlineLevel="1" ht="16" customHeight="1">
      <c r="A2051" s="45" t="inlineStr">
        <is>
          <t>PAIRS</t>
        </is>
      </c>
      <c r="B2051" s="46" t="inlineStr">
        <is>
          <t>IMU for tunnel dead-reckoning, ePaper trip stats</t>
        </is>
      </c>
    </row>
    <row r="2052" outlineLevel="1" ht="15" customHeight="1">
      <c r="A2052" s="45" t="inlineStr">
        <is>
          <t>KEY</t>
        </is>
      </c>
      <c r="B2052" s="46" t="inlineStr">
        <is>
          <t>1.5m CEP, 18Hz, superior urban-canyon behaviour</t>
        </is>
      </c>
    </row>
    <row r="2053" outlineLevel="1" ht="16" customHeight="1">
      <c r="A2053" s="45" t="inlineStr">
        <is>
          <t>buy</t>
        </is>
      </c>
      <c r="B2053" s="49" t="inlineStr">
        <is>
          <t>SF · AF · DK · MO   |   boards: SparkFun MAX-M10S Qwiic   |   lib: SparkFun u-blox GNSS   [High]</t>
        </is>
      </c>
    </row>
    <row r="2055" ht="22" customHeight="1">
      <c r="A2055" s="54" t="inlineStr">
        <is>
          <t>S159</t>
        </is>
      </c>
      <c r="B2055" s="55" t="inlineStr">
        <is>
          <t>ZED-F9P RTK centimetre GNSS   ·   u-blox ZED-F9P</t>
        </is>
      </c>
    </row>
    <row r="2056" outlineLevel="1" ht="15" customHeight="1">
      <c r="A2056" s="45" t="inlineStr">
        <is>
          <t>Category</t>
        </is>
      </c>
      <c r="B2056" s="12" t="inlineStr">
        <is>
          <t>GNSS &amp; Positioning › RTK (centimetre!)</t>
        </is>
      </c>
      <c r="E2056" s="45" t="inlineStr">
        <is>
          <t>Measures</t>
        </is>
      </c>
      <c r="F2056" s="12" t="inlineStr">
        <is>
          <t>Position to 1-2 CENTIMETRES with correction stream</t>
        </is>
      </c>
    </row>
    <row r="2057" outlineLevel="1" ht="15" customHeight="1">
      <c r="A2057" s="45" t="inlineStr">
        <is>
          <t>Modality</t>
        </is>
      </c>
      <c r="B2057" s="12" t="inlineStr">
        <is>
          <t>—</t>
        </is>
      </c>
      <c r="E2057" s="45" t="inlineStr">
        <is>
          <t>Interface</t>
        </is>
      </c>
      <c r="F2057" s="12" t="inlineStr">
        <is>
          <t>I2C / SPI / UART / USB</t>
        </is>
      </c>
    </row>
    <row r="2058" outlineLevel="1" ht="15" customHeight="1">
      <c r="A2058" s="45" t="inlineStr">
        <is>
          <t>Supply</t>
        </is>
      </c>
      <c r="B2058" s="12" t="inlineStr">
        <is>
          <t>3.3-5V</t>
        </is>
      </c>
      <c r="E2058" s="45" t="inlineStr">
        <is>
          <t>Price</t>
        </is>
      </c>
      <c r="F2058" s="12" t="inlineStr">
        <is>
          <t>$260  ($$$$)</t>
        </is>
      </c>
    </row>
    <row r="2059" outlineLevel="1" ht="15" customHeight="1">
      <c r="A2059" s="45" t="inlineStr">
        <is>
          <t>Difficulty</t>
        </is>
      </c>
      <c r="B2059" s="12" t="inlineStr">
        <is>
          <t>4 — Advanced — analog front-ends, protocol work, mechanical integration, or real safety</t>
        </is>
      </c>
    </row>
    <row r="2060" outlineLevel="1" ht="24" customHeight="1">
      <c r="A2060" s="45" t="inlineStr">
        <is>
          <t>HOW</t>
        </is>
      </c>
      <c r="B2060" s="46" t="inlineStr">
        <is>
          <t>Dual-band carrier-phase measurement plus a correction feed (your own base station or NTRIP internet stream) collapses GPS error from metres to centimetres.</t>
        </is>
      </c>
    </row>
    <row r="2061" outlineLevel="1" ht="20" customHeight="1">
      <c r="A2061" s="45" t="inlineStr">
        <is>
          <t>COMMON</t>
        </is>
      </c>
      <c r="B2061" s="46" t="inlineStr">
        <is>
          <t>Robot mowers/tractors, drone surveying/mapping, land boundary measurement, structural monitoring.</t>
        </is>
      </c>
    </row>
    <row r="2062" outlineLevel="1" ht="23" customHeight="1">
      <c r="A2062" s="45" t="inlineStr">
        <is>
          <t>INVENTION</t>
        </is>
      </c>
      <c r="B2062" s="48" t="inlineStr">
        <is>
          <t>Autonomous garden tractor that mows YOUR lawn pattern into the grass — cm-accurate art you replant weekly. Also: actual precision agriculture.</t>
        </is>
      </c>
    </row>
    <row r="2063" outlineLevel="1" ht="16" customHeight="1">
      <c r="A2063" s="45" t="inlineStr">
        <is>
          <t>PAIRS</t>
        </is>
      </c>
      <c r="B2063" s="46" t="inlineStr">
        <is>
          <t>ESP32 NTRIP caster/client over Wi-Fi, rover motor control</t>
        </is>
      </c>
    </row>
    <row r="2064" outlineLevel="1" ht="16" customHeight="1">
      <c r="A2064" s="45" t="inlineStr">
        <is>
          <t>KEY</t>
        </is>
      </c>
      <c r="B2064" s="46" t="inlineStr">
        <is>
          <t>1cm+1ppm RTK, 2 boards = moving baseline heading</t>
        </is>
      </c>
    </row>
    <row r="2065" outlineLevel="1" ht="16" customHeight="1">
      <c r="A2065" s="45" t="inlineStr">
        <is>
          <t>buy</t>
        </is>
      </c>
      <c r="B2065" s="49" t="inlineStr">
        <is>
          <t>SF · DK · MO · AE   |   boards: SparkFun GPS-RTK2, Ardusimple simpleRTK2B   |   lib: SparkFun u-blox GNSS + NTRIP client   [High]</t>
        </is>
      </c>
    </row>
    <row r="2067" ht="22" customHeight="1">
      <c r="A2067" s="54" t="inlineStr">
        <is>
          <t>S160</t>
        </is>
      </c>
      <c r="B2067" s="55" t="inlineStr">
        <is>
          <t>GPS PPS time source   ·   Any GNSS w/ PPS pin</t>
        </is>
      </c>
    </row>
    <row r="2068" outlineLevel="1" ht="15" customHeight="1">
      <c r="A2068" s="45" t="inlineStr">
        <is>
          <t>Category</t>
        </is>
      </c>
      <c r="B2068" s="12" t="inlineStr">
        <is>
          <t>GNSS &amp; Positioning › Precision time</t>
        </is>
      </c>
      <c r="E2068" s="45" t="inlineStr">
        <is>
          <t>Measures</t>
        </is>
      </c>
      <c r="F2068" s="12" t="inlineStr">
        <is>
          <t>Absolute time to ~50 NANOSECONDS via PPS pulse</t>
        </is>
      </c>
    </row>
    <row r="2069" outlineLevel="1" ht="15" customHeight="1">
      <c r="A2069" s="45" t="inlineStr">
        <is>
          <t>Modality</t>
        </is>
      </c>
      <c r="B2069" s="12" t="inlineStr">
        <is>
          <t>—</t>
        </is>
      </c>
      <c r="E2069" s="45" t="inlineStr">
        <is>
          <t>Interface</t>
        </is>
      </c>
      <c r="F2069" s="12" t="inlineStr">
        <is>
          <t>UART</t>
        </is>
      </c>
    </row>
    <row r="2070" outlineLevel="1" ht="15" customHeight="1">
      <c r="A2070" s="45" t="inlineStr">
        <is>
          <t>Supply</t>
        </is>
      </c>
      <c r="B2070" s="12" t="inlineStr">
        <is>
          <t>3.3V</t>
        </is>
      </c>
      <c r="E2070" s="45" t="inlineStr">
        <is>
          <t>Price</t>
        </is>
      </c>
      <c r="F2070" s="12" t="inlineStr">
        <is>
          <t>$10  ($$)</t>
        </is>
      </c>
    </row>
    <row r="2071" outlineLevel="1" ht="15" customHeight="1">
      <c r="A2071" s="45" t="inlineStr">
        <is>
          <t>Difficulty</t>
        </is>
      </c>
      <c r="B2071" s="12" t="inlineStr">
        <is>
          <t>3 — Some skill — calibration, level shifting, timing, or datasheet reading required</t>
        </is>
      </c>
    </row>
    <row r="2072" outlineLevel="1" ht="24" customHeight="1">
      <c r="A2072" s="45" t="inlineStr">
        <is>
          <t>HOW</t>
        </is>
      </c>
      <c r="B2072" s="46" t="inlineStr">
        <is>
          <t>GNSS receivers emit a pulse-per-second edge aligned to atomic-clock time — a free laboratory time standard for synchronising distributed sensors.</t>
        </is>
      </c>
    </row>
    <row r="2073" outlineLevel="1" ht="18" customHeight="1">
      <c r="A2073" s="45" t="inlineStr">
        <is>
          <t>COMMON</t>
        </is>
      </c>
      <c r="B2073" s="46" t="inlineStr">
        <is>
          <t>Multi-node sensor sync, NTP stratum-1 servers, TDOA experiments, physics timing.</t>
        </is>
      </c>
    </row>
    <row r="2074" outlineLevel="1" ht="22" customHeight="1">
      <c r="A2074" s="45" t="inlineStr">
        <is>
          <t>INVENTION</t>
        </is>
      </c>
      <c r="B2074" s="48" t="inlineStr">
        <is>
          <t>Three sound sensors + PPS-sync = thunder/gunshot/firework TDOA triangulation across your neighbourhood — acoustic astronomy.</t>
        </is>
      </c>
    </row>
    <row r="2075" outlineLevel="1" ht="15" customHeight="1">
      <c r="A2075" s="45" t="inlineStr">
        <is>
          <t>PAIRS</t>
        </is>
      </c>
      <c r="B2075" s="46" t="inlineStr">
        <is>
          <t>INMP441 array nodes, ESP-NOW coordination</t>
        </is>
      </c>
    </row>
    <row r="2076" outlineLevel="1" ht="32" customHeight="1">
      <c r="A2076" s="45" t="inlineStr">
        <is>
          <t>KEY</t>
        </is>
      </c>
      <c r="B2076" s="46" t="inlineStr">
        <is>
          <t>The PPS EDGE itself is ~±50ns on hobby modules — but an ESP32 GPIO interrupt timestamp adds microseconds of latency and jitter, so end-to-end you should expect µs-class sync, not ns. Good enough for TDOA over hundreds of metres; not for ns metrology.</t>
        </is>
      </c>
    </row>
    <row r="2077" outlineLevel="1" ht="16" customHeight="1">
      <c r="A2077" s="45" t="inlineStr">
        <is>
          <t>buy</t>
        </is>
      </c>
      <c r="B2077" s="49" t="inlineStr">
        <is>
          <t>AE · SF · DK   |   boards: NEO-6M/M10 boards exposing PPS   |   lib: Interrupt + NMEA pairing   [High]</t>
        </is>
      </c>
    </row>
    <row r="2079" ht="22" customHeight="1">
      <c r="A2079" s="54" t="inlineStr">
        <is>
          <t>S161</t>
        </is>
      </c>
      <c r="B2079" s="55" t="inlineStr">
        <is>
          <t>MLX90640 thermal camera   ·   MLX90640 (32x24)</t>
        </is>
      </c>
    </row>
    <row r="2080" outlineLevel="1" ht="15" customHeight="1">
      <c r="A2080" s="45" t="inlineStr">
        <is>
          <t>Category</t>
        </is>
      </c>
      <c r="B2080" s="12" t="inlineStr">
        <is>
          <t>Thermal Imaging › Thermopile array</t>
        </is>
      </c>
      <c r="E2080" s="45" t="inlineStr">
        <is>
          <t>Measures</t>
        </is>
      </c>
      <c r="F2080" s="12" t="inlineStr">
        <is>
          <t>768-pixel thermal image, -40 to 300°C</t>
        </is>
      </c>
    </row>
    <row r="2081" outlineLevel="1" ht="15" customHeight="1">
      <c r="A2081" s="45" t="inlineStr">
        <is>
          <t>Modality</t>
        </is>
      </c>
      <c r="B2081" s="12" t="inlineStr">
        <is>
          <t>—</t>
        </is>
      </c>
      <c r="E2081" s="45" t="inlineStr">
        <is>
          <t>Interface</t>
        </is>
      </c>
      <c r="F2081" s="12" t="inlineStr">
        <is>
          <t>I2C</t>
        </is>
      </c>
    </row>
    <row r="2082" outlineLevel="1" ht="15" customHeight="1">
      <c r="A2082" s="45" t="inlineStr">
        <is>
          <t>Supply</t>
        </is>
      </c>
      <c r="B2082" s="12" t="inlineStr">
        <is>
          <t>3.3V</t>
        </is>
      </c>
      <c r="E2082" s="45" t="inlineStr">
        <is>
          <t>Price</t>
        </is>
      </c>
      <c r="F2082" s="12" t="inlineStr">
        <is>
          <t>$45  ($$$)</t>
        </is>
      </c>
    </row>
    <row r="2083" outlineLevel="1" ht="15" customHeight="1">
      <c r="A2083" s="45" t="inlineStr">
        <is>
          <t>Difficulty</t>
        </is>
      </c>
      <c r="B2083" s="12" t="inlineStr">
        <is>
          <t>3 — Some skill — calibration, level shifting, timing, or datasheet reading required</t>
        </is>
      </c>
    </row>
    <row r="2084" outlineLevel="1" ht="24" customHeight="1">
      <c r="A2084" s="45" t="inlineStr">
        <is>
          <t>HOW</t>
        </is>
      </c>
      <c r="B2084" s="46" t="inlineStr">
        <is>
          <t>A 32x24 grid of thermopiles each reads radiant heat; together they form a true thermal video feed (up to 32fps) from a chip costing less than dinner.</t>
        </is>
      </c>
    </row>
    <row r="2085" outlineLevel="1" ht="20" customHeight="1">
      <c r="A2085" s="45" t="inlineStr">
        <is>
          <t>COMMON</t>
        </is>
      </c>
      <c r="B2085" s="46" t="inlineStr">
        <is>
          <t>Heat-leak hunting, electrical-panel hotspot scans, body detection in darkness, cooking surface mapping.</t>
        </is>
      </c>
    </row>
    <row r="2086" outlineLevel="1" ht="23" customHeight="1">
      <c r="A2086" s="45" t="inlineStr">
        <is>
          <t>INVENTION</t>
        </is>
      </c>
      <c r="B2086" s="48" t="inlineStr">
        <is>
          <t>A 'house energy X-ray' you sweep along walls: live thermal overlay streamed to your phone reveals every insulation failure in colour.</t>
        </is>
      </c>
    </row>
    <row r="2087" outlineLevel="1" ht="16" customHeight="1">
      <c r="A2087" s="45" t="inlineStr">
        <is>
          <t>PAIRS</t>
        </is>
      </c>
      <c r="B2087" s="46" t="inlineStr">
        <is>
          <t>ESP32-S3 + LCD live view, visible camera overlay</t>
        </is>
      </c>
    </row>
    <row r="2088" outlineLevel="1" ht="15" customHeight="1">
      <c r="A2088" s="45" t="inlineStr">
        <is>
          <t>KEY</t>
        </is>
      </c>
      <c r="B2088" s="46" t="inlineStr">
        <is>
          <t>32x24, ±1.5°C, 55°/110° FOV options</t>
        </is>
      </c>
    </row>
    <row r="2089" outlineLevel="1" ht="16" customHeight="1">
      <c r="A2089" s="45" t="inlineStr">
        <is>
          <t>buy</t>
        </is>
      </c>
      <c r="B2089" s="49" t="inlineStr">
        <is>
          <t>AF · SF · DK · AE · PI   |   boards: Adafruit 4407, GY-MCU90640 (UART helper MCU)   |   lib: Adafruit_MLX90640, Melexis driver   [High]</t>
        </is>
      </c>
    </row>
    <row r="2091" ht="22" customHeight="1">
      <c r="A2091" s="54" t="inlineStr">
        <is>
          <t>S162</t>
        </is>
      </c>
      <c r="B2091" s="55" t="inlineStr">
        <is>
          <t>MLX90641 thermal (16x12)   ·   MLX90641</t>
        </is>
      </c>
    </row>
    <row r="2092" outlineLevel="1" ht="15" customHeight="1">
      <c r="A2092" s="45" t="inlineStr">
        <is>
          <t>Category</t>
        </is>
      </c>
      <c r="B2092" s="12" t="inlineStr">
        <is>
          <t>Thermal Imaging › Thermopile array</t>
        </is>
      </c>
      <c r="E2092" s="45" t="inlineStr">
        <is>
          <t>Measures</t>
        </is>
      </c>
      <c r="F2092" s="12" t="inlineStr">
        <is>
          <t>192-pixel thermal image, lower cost/RAM</t>
        </is>
      </c>
    </row>
    <row r="2093" outlineLevel="1" ht="15" customHeight="1">
      <c r="A2093" s="45" t="inlineStr">
        <is>
          <t>Modality</t>
        </is>
      </c>
      <c r="B2093" s="12" t="inlineStr">
        <is>
          <t>—</t>
        </is>
      </c>
      <c r="E2093" s="45" t="inlineStr">
        <is>
          <t>Interface</t>
        </is>
      </c>
      <c r="F2093" s="12" t="inlineStr">
        <is>
          <t>I2C</t>
        </is>
      </c>
    </row>
    <row r="2094" outlineLevel="1" ht="15" customHeight="1">
      <c r="A2094" s="45" t="inlineStr">
        <is>
          <t>Supply</t>
        </is>
      </c>
      <c r="B2094" s="12" t="inlineStr">
        <is>
          <t>3.3V</t>
        </is>
      </c>
      <c r="E2094" s="45" t="inlineStr">
        <is>
          <t>Price</t>
        </is>
      </c>
      <c r="F2094" s="12" t="inlineStr">
        <is>
          <t>$60  ($$$$)</t>
        </is>
      </c>
    </row>
    <row r="2095" outlineLevel="1" ht="15" customHeight="1">
      <c r="A2095" s="45" t="inlineStr">
        <is>
          <t>Difficulty</t>
        </is>
      </c>
      <c r="B2095" s="12" t="inlineStr">
        <is>
          <t>2 — Easy — breadboard wiring, a well-documented library, no analog thought needed</t>
        </is>
      </c>
    </row>
    <row r="2096" outlineLevel="1" ht="24" customHeight="1">
      <c r="A2096" s="45" t="inlineStr">
        <is>
          <t>HOW</t>
        </is>
      </c>
      <c r="B2096" s="46" t="inlineStr">
        <is>
          <t>Smaller sibling of the 90640 — quarter the pixels, kinder to RAM and budget, same physics; ideal when you need 'where is the heat' not 'pretty picture'.</t>
        </is>
      </c>
    </row>
    <row r="2097" outlineLevel="1" ht="18" customHeight="1">
      <c r="A2097" s="45" t="inlineStr">
        <is>
          <t>COMMON</t>
        </is>
      </c>
      <c r="B2097" s="46" t="inlineStr">
        <is>
          <t>Occupancy heat blobs, equipment monitoring, fall-detection helpers, pet locators.</t>
        </is>
      </c>
    </row>
    <row r="2098" outlineLevel="1" ht="23" customHeight="1">
      <c r="A2098" s="45" t="inlineStr">
        <is>
          <t>INVENTION</t>
        </is>
      </c>
      <c r="B2098" s="48" t="inlineStr">
        <is>
          <t>Radiator-balance auditor: one glance tells which radiators run hot/cold across the house, turning hydronic balancing from art to data.</t>
        </is>
      </c>
    </row>
    <row r="2099" outlineLevel="1" ht="15" customHeight="1">
      <c r="A2099" s="45" t="inlineStr">
        <is>
          <t>PAIRS</t>
        </is>
      </c>
      <c r="B2099" s="46" t="inlineStr">
        <is>
          <t>ESP-NOW thermal mesh, valve actuators</t>
        </is>
      </c>
    </row>
    <row r="2100" outlineLevel="1" ht="15" customHeight="1">
      <c r="A2100" s="45" t="inlineStr">
        <is>
          <t>KEY</t>
        </is>
      </c>
      <c r="B2100" s="46" t="inlineStr">
        <is>
          <t>16x12, ±1°C, 110° FOV</t>
        </is>
      </c>
    </row>
    <row r="2101" outlineLevel="1" ht="16" customHeight="1">
      <c r="A2101" s="45" t="inlineStr">
        <is>
          <t>buy</t>
        </is>
      </c>
      <c r="B2101" s="49" t="inlineStr">
        <is>
          <t>SF · DK · MO   |   boards: SparkFun Qwiic MLX90641   |   lib: Melexis API/SparkFun   [High]</t>
        </is>
      </c>
    </row>
    <row r="2103" ht="22" customHeight="1">
      <c r="A2103" s="54" t="inlineStr">
        <is>
          <t>S163</t>
        </is>
      </c>
      <c r="B2103" s="55" t="inlineStr">
        <is>
          <t>FLIR Lepton 3.5   ·   Lepton 3.5</t>
        </is>
      </c>
    </row>
    <row r="2104" outlineLevel="1" ht="15" customHeight="1">
      <c r="A2104" s="45" t="inlineStr">
        <is>
          <t>Category</t>
        </is>
      </c>
      <c r="B2104" s="12" t="inlineStr">
        <is>
          <t>Thermal Imaging › Microbolometer (real IR cam)</t>
        </is>
      </c>
      <c r="E2104" s="45" t="inlineStr">
        <is>
          <t>Measures</t>
        </is>
      </c>
      <c r="F2104" s="12" t="inlineStr">
        <is>
          <t>160x120 radiometric thermal video</t>
        </is>
      </c>
    </row>
    <row r="2105" outlineLevel="1" ht="15" customHeight="1">
      <c r="A2105" s="45" t="inlineStr">
        <is>
          <t>Modality</t>
        </is>
      </c>
      <c r="B2105" s="12" t="inlineStr">
        <is>
          <t>—</t>
        </is>
      </c>
      <c r="E2105" s="45" t="inlineStr">
        <is>
          <t>Interface</t>
        </is>
      </c>
      <c r="F2105" s="12" t="inlineStr">
        <is>
          <t>I2C / SPI</t>
        </is>
      </c>
    </row>
    <row r="2106" outlineLevel="1" ht="15" customHeight="1">
      <c r="A2106" s="45" t="inlineStr">
        <is>
          <t>Supply</t>
        </is>
      </c>
      <c r="B2106" s="12" t="inlineStr">
        <is>
          <t>2.8/1.2V (use breakout)</t>
        </is>
      </c>
      <c r="E2106" s="45" t="inlineStr">
        <is>
          <t>Price</t>
        </is>
      </c>
      <c r="F2106" s="12" t="inlineStr">
        <is>
          <t>$240  ($$$$)</t>
        </is>
      </c>
    </row>
    <row r="2107" outlineLevel="1" ht="15" customHeight="1">
      <c r="A2107" s="45" t="inlineStr">
        <is>
          <t>Difficulty</t>
        </is>
      </c>
      <c r="B2107" s="12" t="inlineStr">
        <is>
          <t>5 — Expert — you are doing research; expect to write drivers and validate your own results</t>
        </is>
      </c>
    </row>
    <row r="2108" outlineLevel="1" ht="25" customHeight="1">
      <c r="A2108" s="45" t="inlineStr">
        <is>
          <t>HOW</t>
        </is>
      </c>
      <c r="B2108" s="46" t="inlineStr">
        <is>
          <t>A true microbolometer focal-plane array — every pixel is a calibrated temperature. The chip inside professional thermal cameras, on a hobby-mountable socket.</t>
        </is>
      </c>
    </row>
    <row r="2109" outlineLevel="1" ht="19" customHeight="1">
      <c r="A2109" s="45" t="inlineStr">
        <is>
          <t>COMMON</t>
        </is>
      </c>
      <c r="B2109" s="46" t="inlineStr">
        <is>
          <t>Serious thermography, search-and-rescue drones, fever screening research, wildlife at night.</t>
        </is>
      </c>
    </row>
    <row r="2110" outlineLevel="1" ht="23" customHeight="1">
      <c r="A2110" s="45" t="inlineStr">
        <is>
          <t>INVENTION</t>
        </is>
      </c>
      <c r="B2110" s="48" t="inlineStr">
        <is>
          <t>Drone-mounted deer-fawn finder before mowing season — farmers in Europe already save thousands of fawns this way; build the open version.</t>
        </is>
      </c>
    </row>
    <row r="2111" outlineLevel="1" ht="15" customHeight="1">
      <c r="A2111" s="45" t="inlineStr">
        <is>
          <t>PAIRS</t>
        </is>
      </c>
      <c r="B2111" s="46" t="inlineStr">
        <is>
          <t>ESP32-S3 buffer → Wi-Fi stream, GPS geotagging</t>
        </is>
      </c>
    </row>
    <row r="2112" outlineLevel="1" ht="15" customHeight="1">
      <c r="A2112" s="45" t="inlineStr">
        <is>
          <t>KEY</t>
        </is>
      </c>
      <c r="B2112" s="46" t="inlineStr">
        <is>
          <t>160x120, radiometric, 8.7Hz (export-limited)</t>
        </is>
      </c>
    </row>
    <row r="2113" outlineLevel="1" ht="16" customHeight="1">
      <c r="A2113" s="45" t="inlineStr">
        <is>
          <t>buy</t>
        </is>
      </c>
      <c r="B2113" s="49" t="inlineStr">
        <is>
          <t>SF · DK · GR   |   boards: GroupGets PureThermal, SparkFun Lepton carrier   |   lib: Lepton SDK ports, PureThermal firmware   [High]</t>
        </is>
      </c>
    </row>
    <row r="2115" ht="22" customHeight="1">
      <c r="A2115" s="54" t="inlineStr">
        <is>
          <t>S164</t>
        </is>
      </c>
      <c r="B2115" s="55" t="inlineStr">
        <is>
          <t>D6T thermal presence   ·   Omron D6T-44L</t>
        </is>
      </c>
    </row>
    <row r="2116" outlineLevel="1" ht="15" customHeight="1">
      <c r="A2116" s="45" t="inlineStr">
        <is>
          <t>Category</t>
        </is>
      </c>
      <c r="B2116" s="12" t="inlineStr">
        <is>
          <t>Thermal Imaging › Low-res presence</t>
        </is>
      </c>
      <c r="E2116" s="45" t="inlineStr">
        <is>
          <t>Measures</t>
        </is>
      </c>
      <c r="F2116" s="12" t="inlineStr">
        <is>
          <t>4x4 thermal pixels optimised for people-detection</t>
        </is>
      </c>
    </row>
    <row r="2117" outlineLevel="1" ht="15" customHeight="1">
      <c r="A2117" s="45" t="inlineStr">
        <is>
          <t>Modality</t>
        </is>
      </c>
      <c r="B2117" s="12" t="inlineStr">
        <is>
          <t>—</t>
        </is>
      </c>
      <c r="E2117" s="45" t="inlineStr">
        <is>
          <t>Interface</t>
        </is>
      </c>
      <c r="F2117" s="12" t="inlineStr">
        <is>
          <t>I2C</t>
        </is>
      </c>
    </row>
    <row r="2118" outlineLevel="1" ht="15" customHeight="1">
      <c r="A2118" s="45" t="inlineStr">
        <is>
          <t>Supply</t>
        </is>
      </c>
      <c r="B2118" s="12" t="inlineStr">
        <is>
          <t>4.5-5.5V</t>
        </is>
      </c>
      <c r="E2118" s="45" t="inlineStr">
        <is>
          <t>Price</t>
        </is>
      </c>
      <c r="F2118" s="12" t="inlineStr">
        <is>
          <t>$55  ($$$$)</t>
        </is>
      </c>
    </row>
    <row r="2119" outlineLevel="1" ht="15" customHeight="1">
      <c r="A2119" s="45" t="inlineStr">
        <is>
          <t>Difficulty</t>
        </is>
      </c>
      <c r="B2119" s="12" t="inlineStr">
        <is>
          <t>2 — Easy — breadboard wiring, a well-documented library, no analog thought needed</t>
        </is>
      </c>
    </row>
    <row r="2120" outlineLevel="1" ht="23" customHeight="1">
      <c r="A2120" s="45" t="inlineStr">
        <is>
          <t>HOW</t>
        </is>
      </c>
      <c r="B2120" s="46" t="inlineStr">
        <is>
          <t>Omron tuned this 16-pixel thermopile specifically to distinguish humans from sunlit/warm backgrounds — presence detection that PIR can't fake.</t>
        </is>
      </c>
    </row>
    <row r="2121" outlineLevel="1" ht="19" customHeight="1">
      <c r="A2121" s="45" t="inlineStr">
        <is>
          <t>COMMON</t>
        </is>
      </c>
      <c r="B2121" s="46" t="inlineStr">
        <is>
          <t>HVAC people-counting, desk occupancy (hot-desking), stillness monitoring for elders.</t>
        </is>
      </c>
    </row>
    <row r="2122" outlineLevel="1" ht="22" customHeight="1">
      <c r="A2122" s="45" t="inlineStr">
        <is>
          <t>INVENTION</t>
        </is>
      </c>
      <c r="B2122" s="48" t="inlineStr">
        <is>
          <t>Seat-level presence in meeting rooms WITHOUT cameras: thermal blobs = headcount; privacy officers actually approve this one.</t>
        </is>
      </c>
    </row>
    <row r="2123" outlineLevel="1" ht="15" customHeight="1">
      <c r="A2123" s="45" t="inlineStr">
        <is>
          <t>PAIRS</t>
        </is>
      </c>
      <c r="B2123" s="46" t="inlineStr">
        <is>
          <t>MQTT to room-booking systems</t>
        </is>
      </c>
    </row>
    <row r="2124" outlineLevel="1" ht="20" customHeight="1">
      <c r="A2124" s="45" t="inlineStr">
        <is>
          <t>KEY</t>
        </is>
      </c>
      <c r="B2124" s="46" t="inlineStr">
        <is>
          <t>4x4, ±1.5°C, with Omron application notes specifically for distinguishing humans from warm backgrounds</t>
        </is>
      </c>
    </row>
    <row r="2125" outlineLevel="1" ht="16" customHeight="1">
      <c r="A2125" s="45" t="inlineStr">
        <is>
          <t>buy</t>
        </is>
      </c>
      <c r="B2125" s="49" t="inlineStr">
        <is>
          <t>DK · MO · SS   |   boards: Grove/Omron eval   |   lib: Omron sample code   [High]</t>
        </is>
      </c>
    </row>
    <row r="2127" ht="22" customHeight="1">
      <c r="A2127" s="54" t="inlineStr">
        <is>
          <t>S165</t>
        </is>
      </c>
      <c r="B2127" s="55" t="inlineStr">
        <is>
          <t>OV2640 camera (ESP32-CAM)   ·   OV2640 on ESP32-CAM</t>
        </is>
      </c>
    </row>
    <row r="2128" outlineLevel="1" ht="15" customHeight="1">
      <c r="A2128" s="45" t="inlineStr">
        <is>
          <t>Category</t>
        </is>
      </c>
      <c r="B2128" s="12" t="inlineStr">
        <is>
          <t>Cameras &amp; Vision › Visible camera</t>
        </is>
      </c>
      <c r="E2128" s="45" t="inlineStr">
        <is>
          <t>Measures</t>
        </is>
      </c>
      <c r="F2128" s="12" t="inlineStr">
        <is>
          <t>2MP photos / 640x480 streaming video</t>
        </is>
      </c>
    </row>
    <row r="2129" outlineLevel="1" ht="15" customHeight="1">
      <c r="A2129" s="45" t="inlineStr">
        <is>
          <t>Modality</t>
        </is>
      </c>
      <c r="B2129" s="12" t="inlineStr">
        <is>
          <t>—</t>
        </is>
      </c>
      <c r="E2129" s="45" t="inlineStr">
        <is>
          <t>Interface</t>
        </is>
      </c>
      <c r="F2129" s="12" t="inlineStr">
        <is>
          <t>Camera</t>
        </is>
      </c>
    </row>
    <row r="2130" outlineLevel="1" ht="15" customHeight="1">
      <c r="A2130" s="45" t="inlineStr">
        <is>
          <t>Supply</t>
        </is>
      </c>
      <c r="B2130" s="12" t="inlineStr">
        <is>
          <t>5V board</t>
        </is>
      </c>
      <c r="E2130" s="45" t="inlineStr">
        <is>
          <t>Price</t>
        </is>
      </c>
      <c r="F2130" s="12" t="inlineStr">
        <is>
          <t>$8  ($$)</t>
        </is>
      </c>
    </row>
    <row r="2131" outlineLevel="1" ht="15" customHeight="1">
      <c r="A2131" s="45" t="inlineStr">
        <is>
          <t>Difficulty</t>
        </is>
      </c>
      <c r="B2131" s="12" t="inlineStr">
        <is>
          <t>2 — Easy — breadboard wiring, a well-documented library, no analog thought needed</t>
        </is>
      </c>
    </row>
    <row r="2132" outlineLevel="1" ht="23" customHeight="1">
      <c r="A2132" s="45" t="inlineStr">
        <is>
          <t>HOW</t>
        </is>
      </c>
      <c r="B2132" s="46" t="inlineStr">
        <is>
          <t>A CMOS sensor array converts photons to charge per pixel; the ESP32-CAM board pairs it with PSRAM and a JPEG-capable interface for $8 all-in.</t>
        </is>
      </c>
    </row>
    <row r="2133" outlineLevel="1" ht="19" customHeight="1">
      <c r="A2133" s="45" t="inlineStr">
        <is>
          <t>COMMON</t>
        </is>
      </c>
      <c r="B2133" s="46" t="inlineStr">
        <is>
          <t>Doorbells, wildlife cams, time-lapse rigs, QR readers, octoprint-style print watchers.</t>
        </is>
      </c>
    </row>
    <row r="2134" outlineLevel="1" ht="25" customHeight="1">
      <c r="A2134" s="45" t="inlineStr">
        <is>
          <t>INVENTION</t>
        </is>
      </c>
      <c r="B2134" s="48" t="inlineStr">
        <is>
          <t>A seed-to-harvest time-lapse farm: one frame per hour per planter, auto-compiled monthly films of your garden growing — addictive and useful (growth-rate metrics).</t>
        </is>
      </c>
    </row>
    <row r="2135" outlineLevel="1" ht="16" customHeight="1">
      <c r="A2135" s="45" t="inlineStr">
        <is>
          <t>PAIRS</t>
        </is>
      </c>
      <c r="B2135" s="46" t="inlineStr">
        <is>
          <t>PIR wake for camera-trap mode, SD storage, solar</t>
        </is>
      </c>
    </row>
    <row r="2136" outlineLevel="1" ht="15" customHeight="1">
      <c r="A2136" s="45" t="inlineStr">
        <is>
          <t>KEY</t>
        </is>
      </c>
      <c r="B2136" s="46" t="inlineStr">
        <is>
          <t>1600x1200 stills, motion-JPEG streaming</t>
        </is>
      </c>
    </row>
    <row r="2137" outlineLevel="1" ht="16" customHeight="1">
      <c r="A2137" s="45" t="inlineStr">
        <is>
          <t>buy</t>
        </is>
      </c>
      <c r="B2137" s="49" t="inlineStr">
        <is>
          <t>AE · AMZ · DFR · CE   |   boards: AI-Thinker ESP32-CAM (+ MB programmer)   |   lib: esp32-camera, ESPHome camera   [High]</t>
        </is>
      </c>
    </row>
    <row r="2139" ht="22" customHeight="1">
      <c r="A2139" s="54" t="inlineStr">
        <is>
          <t>S166</t>
        </is>
      </c>
      <c r="B2139" s="55" t="inlineStr">
        <is>
          <t>OV5640 5MP autofocus cam   ·   OV5640 (ESP32-S3 boards)</t>
        </is>
      </c>
    </row>
    <row r="2140" outlineLevel="1" ht="15" customHeight="1">
      <c r="A2140" s="45" t="inlineStr">
        <is>
          <t>Category</t>
        </is>
      </c>
      <c r="B2140" s="12" t="inlineStr">
        <is>
          <t>Cameras &amp; Vision › Visible camera</t>
        </is>
      </c>
      <c r="E2140" s="45" t="inlineStr">
        <is>
          <t>Measures</t>
        </is>
      </c>
      <c r="F2140" s="12" t="inlineStr">
        <is>
          <t>5MP stills with autofocus, better video</t>
        </is>
      </c>
    </row>
    <row r="2141" outlineLevel="1" ht="15" customHeight="1">
      <c r="A2141" s="45" t="inlineStr">
        <is>
          <t>Modality</t>
        </is>
      </c>
      <c r="B2141" s="12" t="inlineStr">
        <is>
          <t>—</t>
        </is>
      </c>
      <c r="E2141" s="45" t="inlineStr">
        <is>
          <t>Interface</t>
        </is>
      </c>
      <c r="F2141" s="12" t="inlineStr">
        <is>
          <t>Camera</t>
        </is>
      </c>
    </row>
    <row r="2142" outlineLevel="1" ht="15" customHeight="1">
      <c r="A2142" s="45" t="inlineStr">
        <is>
          <t>Supply</t>
        </is>
      </c>
      <c r="B2142" s="12" t="inlineStr">
        <is>
          <t>3.3V</t>
        </is>
      </c>
      <c r="E2142" s="45" t="inlineStr">
        <is>
          <t>Price</t>
        </is>
      </c>
      <c r="F2142" s="12" t="inlineStr">
        <is>
          <t>$15  ($$$)</t>
        </is>
      </c>
    </row>
    <row r="2143" outlineLevel="1" ht="15" customHeight="1">
      <c r="A2143" s="45" t="inlineStr">
        <is>
          <t>Difficulty</t>
        </is>
      </c>
      <c r="B2143" s="12" t="inlineStr">
        <is>
          <t>3 — Some skill — calibration, level shifting, timing, or datasheet reading required</t>
        </is>
      </c>
    </row>
    <row r="2144" outlineLevel="1" ht="23" customHeight="1">
      <c r="A2144" s="45" t="inlineStr">
        <is>
          <t>HOW</t>
        </is>
      </c>
      <c r="B2144" s="46" t="inlineStr">
        <is>
          <t>Higher-resolution sensor with autofocus voice-coil — paired with ESP32-S3's extra RAM/speed it makes genuinely usable image capture nodes.</t>
        </is>
      </c>
    </row>
    <row r="2145" outlineLevel="1" ht="18" customHeight="1">
      <c r="A2145" s="45" t="inlineStr">
        <is>
          <t>COMMON</t>
        </is>
      </c>
      <c r="B2145" s="46" t="inlineStr">
        <is>
          <t>Document/label capture, inspection close-ups, better wildlife detail, OCR feeders.</t>
        </is>
      </c>
    </row>
    <row r="2146" outlineLevel="1" ht="22" customHeight="1">
      <c r="A2146" s="45" t="inlineStr">
        <is>
          <t>INVENTION</t>
        </is>
      </c>
      <c r="B2146" s="48" t="inlineStr">
        <is>
          <t>A shelf-inventory camera that photographs your pantry daily; a vision model (cloud or local) turns it into a live grocery list.</t>
        </is>
      </c>
    </row>
    <row r="2147" outlineLevel="1" ht="15" customHeight="1">
      <c r="A2147" s="45" t="inlineStr">
        <is>
          <t>PAIRS</t>
        </is>
      </c>
      <c r="B2147" s="46" t="inlineStr">
        <is>
          <t>ESP32-S3 + cloud VLM API, scheduled wake</t>
        </is>
      </c>
    </row>
    <row r="2148" outlineLevel="1" ht="15" customHeight="1">
      <c r="A2148" s="45" t="inlineStr">
        <is>
          <t>KEY</t>
        </is>
      </c>
      <c r="B2148" s="46" t="inlineStr">
        <is>
          <t>2592x1944 stills, AF, JPEG on-sensor</t>
        </is>
      </c>
    </row>
    <row r="2149" outlineLevel="1" ht="16" customHeight="1">
      <c r="A2149" s="45" t="inlineStr">
        <is>
          <t>buy</t>
        </is>
      </c>
      <c r="B2149" s="49" t="inlineStr">
        <is>
          <t>AE · SS · DFR   |   boards: XIAO ESP32-S3 Sense, Freenove S3 cam kits   |   lib: esp32-camera   [High]</t>
        </is>
      </c>
    </row>
    <row r="2151" ht="22" customHeight="1">
      <c r="A2151" s="54" t="inlineStr">
        <is>
          <t>S167</t>
        </is>
      </c>
      <c r="B2151" s="55" t="inlineStr">
        <is>
          <t>Person Sensor (Useful Sensors)   ·   Person Sensor SEN-21231</t>
        </is>
      </c>
    </row>
    <row r="2152" outlineLevel="1" ht="15" customHeight="1">
      <c r="A2152" s="45" t="inlineStr">
        <is>
          <t>Category</t>
        </is>
      </c>
      <c r="B2152" s="12" t="inlineStr">
        <is>
          <t>Cameras &amp; Vision › Smart vision module</t>
        </is>
      </c>
      <c r="E2152" s="45" t="inlineStr">
        <is>
          <t>Measures</t>
        </is>
      </c>
      <c r="F2152" s="12" t="inlineStr">
        <is>
          <t>Face presence/count/position — preprocessed, no images out</t>
        </is>
      </c>
    </row>
    <row r="2153" outlineLevel="1" ht="15" customHeight="1">
      <c r="A2153" s="45" t="inlineStr">
        <is>
          <t>Modality</t>
        </is>
      </c>
      <c r="B2153" s="12" t="inlineStr">
        <is>
          <t>—</t>
        </is>
      </c>
      <c r="E2153" s="45" t="inlineStr">
        <is>
          <t>Interface</t>
        </is>
      </c>
      <c r="F2153" s="12" t="inlineStr">
        <is>
          <t>I2C</t>
        </is>
      </c>
    </row>
    <row r="2154" outlineLevel="1" ht="15" customHeight="1">
      <c r="A2154" s="45" t="inlineStr">
        <is>
          <t>Supply</t>
        </is>
      </c>
      <c r="B2154" s="12" t="inlineStr">
        <is>
          <t>3.3V</t>
        </is>
      </c>
      <c r="E2154" s="45" t="inlineStr">
        <is>
          <t>Price</t>
        </is>
      </c>
      <c r="F2154" s="12" t="inlineStr">
        <is>
          <t>$10  ($$)</t>
        </is>
      </c>
    </row>
    <row r="2155" outlineLevel="1" ht="15" customHeight="1">
      <c r="A2155" s="45" t="inlineStr">
        <is>
          <t>Difficulty</t>
        </is>
      </c>
      <c r="B2155" s="12" t="inlineStr">
        <is>
          <t>1 — Plug and play — Qwiic/STEMMA cable or 3 wires, library example works first time</t>
        </is>
      </c>
    </row>
    <row r="2156" outlineLevel="1" ht="25" customHeight="1">
      <c r="A2156" s="45" t="inlineStr">
        <is>
          <t>HOW</t>
        </is>
      </c>
      <c r="B2156" s="46" t="inlineStr">
        <is>
          <t>A camera + neural accelerator sealed in firmware that ONLY outputs face boxes over I2C — vision superpowers with privacy by architecture (images never leave).</t>
        </is>
      </c>
    </row>
    <row r="2157" outlineLevel="1" ht="20" customHeight="1">
      <c r="A2157" s="45" t="inlineStr">
        <is>
          <t>COMMON</t>
        </is>
      </c>
      <c r="B2157" s="46" t="inlineStr">
        <is>
          <t>Screen wake-on-face, attention analytics, displays that greet, energy saving (sleep when nobody looks).</t>
        </is>
      </c>
    </row>
    <row r="2158" outlineLevel="1" ht="24" customHeight="1">
      <c r="A2158" s="45" t="inlineStr">
        <is>
          <t>INVENTION</t>
        </is>
      </c>
      <c r="B2158" s="48" t="inlineStr">
        <is>
          <t>Appliances with eye contact: the thermostat shows detail only when you LOOK at it; art that performs only when watched (and sulks when ignored).</t>
        </is>
      </c>
    </row>
    <row r="2159" outlineLevel="1" ht="15" customHeight="1">
      <c r="A2159" s="45" t="inlineStr">
        <is>
          <t>PAIRS</t>
        </is>
      </c>
      <c r="B2159" s="46" t="inlineStr">
        <is>
          <t>Any display project, servo gaze-following</t>
        </is>
      </c>
    </row>
    <row r="2160" outlineLevel="1" ht="16" customHeight="1">
      <c r="A2160" s="45" t="inlineStr">
        <is>
          <t>KEY</t>
        </is>
      </c>
      <c r="B2160" s="46" t="inlineStr">
        <is>
          <t>Faces up to ~2m, ID of 'recognised' faces optional</t>
        </is>
      </c>
    </row>
    <row r="2161" outlineLevel="1" ht="16" customHeight="1">
      <c r="A2161" s="45" t="inlineStr">
        <is>
          <t>buy</t>
        </is>
      </c>
      <c r="B2161" s="49" t="inlineStr">
        <is>
          <t>SF · DK   |   boards: Useful Sensors module   |   lib: Tiny I2C struct read   [High]</t>
        </is>
      </c>
    </row>
    <row r="2163" ht="22" customHeight="1">
      <c r="A2163" s="54" t="inlineStr">
        <is>
          <t>S168</t>
        </is>
      </c>
      <c r="B2163" s="55" t="inlineStr">
        <is>
          <t>HuskyLens AI camera   ·   DFRobot HuskyLens</t>
        </is>
      </c>
    </row>
    <row r="2164" outlineLevel="1" ht="15" customHeight="1">
      <c r="A2164" s="45" t="inlineStr">
        <is>
          <t>Category</t>
        </is>
      </c>
      <c r="B2164" s="12" t="inlineStr">
        <is>
          <t>Cameras &amp; Vision › Smart vision module</t>
        </is>
      </c>
      <c r="E2164" s="45" t="inlineStr">
        <is>
          <t>Measures</t>
        </is>
      </c>
      <c r="F2164" s="12" t="inlineStr">
        <is>
          <t>On-device face/object/line/color/tag recognition</t>
        </is>
      </c>
    </row>
    <row r="2165" outlineLevel="1" ht="15" customHeight="1">
      <c r="A2165" s="45" t="inlineStr">
        <is>
          <t>Modality</t>
        </is>
      </c>
      <c r="B2165" s="12" t="inlineStr">
        <is>
          <t>—</t>
        </is>
      </c>
      <c r="E2165" s="45" t="inlineStr">
        <is>
          <t>Interface</t>
        </is>
      </c>
      <c r="F2165" s="12" t="inlineStr">
        <is>
          <t>I2C / UART</t>
        </is>
      </c>
    </row>
    <row r="2166" outlineLevel="1" ht="15" customHeight="1">
      <c r="A2166" s="45" t="inlineStr">
        <is>
          <t>Supply</t>
        </is>
      </c>
      <c r="B2166" s="12" t="inlineStr">
        <is>
          <t>3.3-5V</t>
        </is>
      </c>
      <c r="E2166" s="45" t="inlineStr">
        <is>
          <t>Price</t>
        </is>
      </c>
      <c r="F2166" s="12" t="inlineStr">
        <is>
          <t>$45  ($$$)</t>
        </is>
      </c>
    </row>
    <row r="2167" outlineLevel="1" ht="15" customHeight="1">
      <c r="A2167" s="45" t="inlineStr">
        <is>
          <t>Difficulty</t>
        </is>
      </c>
      <c r="B2167" s="12" t="inlineStr">
        <is>
          <t>1 — Plug and play — Qwiic/STEMMA cable or 3 wires, library example works first time</t>
        </is>
      </c>
    </row>
    <row r="2168" outlineLevel="1" ht="23" customHeight="1">
      <c r="A2168" s="45" t="inlineStr">
        <is>
          <t>HOW</t>
        </is>
      </c>
      <c r="B2168" s="46" t="inlineStr">
        <is>
          <t>A Kendryte K210 NPU runs vision models onboard with a screen for training-by-button — your ESP32 receives 'object #2 at x,y' over UART/I2C.</t>
        </is>
      </c>
    </row>
    <row r="2169" outlineLevel="1" ht="18" customHeight="1">
      <c r="A2169" s="45" t="inlineStr">
        <is>
          <t>COMMON</t>
        </is>
      </c>
      <c r="B2169" s="46" t="inlineStr">
        <is>
          <t>Robot ball-chasers, face-unlock boxes, line-following, classroom AI without code.</t>
        </is>
      </c>
    </row>
    <row r="2170" outlineLevel="1" ht="40" customHeight="1">
      <c r="A2170" s="45" t="inlineStr">
        <is>
          <t>INVENTION</t>
        </is>
      </c>
      <c r="B2170" s="48" t="inlineStr">
        <is>
          <t>A pet-aware door: HuskyLens' object-tracking and tag-recognition modes reliably distinguish a tagged collar or a learned object; its FACE recognition is trained on human faces, so cat-face ID needs a custom model (Grove Vision AI V2) rather than the built-in mode. The honest build is tag-plus-shape, and it still explains edge AI to anyone.</t>
        </is>
      </c>
    </row>
    <row r="2171" outlineLevel="1" ht="15" customHeight="1">
      <c r="A2171" s="45" t="inlineStr">
        <is>
          <t>PAIRS</t>
        </is>
      </c>
      <c r="B2171" s="46" t="inlineStr">
        <is>
          <t>Servo latch, ESP-NOW event log</t>
        </is>
      </c>
    </row>
    <row r="2172" outlineLevel="1" ht="16" customHeight="1">
      <c r="A2172" s="45" t="inlineStr">
        <is>
          <t>KEY</t>
        </is>
      </c>
      <c r="B2172" s="46" t="inlineStr">
        <is>
          <t>Face recog, object tracking, 20+fps, built-in screen</t>
        </is>
      </c>
    </row>
    <row r="2173" outlineLevel="1" ht="16" customHeight="1">
      <c r="A2173" s="45" t="inlineStr">
        <is>
          <t>buy</t>
        </is>
      </c>
      <c r="B2173" s="49" t="inlineStr">
        <is>
          <t>DFR · DK · AMZ · CE   |   boards: HuskyLens with mount   |   lib: HUSKYLENS Arduino   [High]</t>
        </is>
      </c>
    </row>
    <row r="2175" ht="22" customHeight="1">
      <c r="A2175" s="54" t="inlineStr">
        <is>
          <t>S169</t>
        </is>
      </c>
      <c r="B2175" s="55" t="inlineStr">
        <is>
          <t>Grove Vision AI v2   ·   Seeed Grove Vision AI V2</t>
        </is>
      </c>
    </row>
    <row r="2176" outlineLevel="1" ht="15" customHeight="1">
      <c r="A2176" s="45" t="inlineStr">
        <is>
          <t>Category</t>
        </is>
      </c>
      <c r="B2176" s="12" t="inlineStr">
        <is>
          <t>Cameras &amp; Vision › Smart vision module</t>
        </is>
      </c>
      <c r="E2176" s="45" t="inlineStr">
        <is>
          <t>Measures</t>
        </is>
      </c>
      <c r="F2176" s="12" t="inlineStr">
        <is>
          <t>Custom TinyML vision models (YOLO-class) at the edge</t>
        </is>
      </c>
    </row>
    <row r="2177" outlineLevel="1" ht="15" customHeight="1">
      <c r="A2177" s="45" t="inlineStr">
        <is>
          <t>Modality</t>
        </is>
      </c>
      <c r="B2177" s="12" t="inlineStr">
        <is>
          <t>—</t>
        </is>
      </c>
      <c r="E2177" s="45" t="inlineStr">
        <is>
          <t>Interface</t>
        </is>
      </c>
      <c r="F2177" s="12" t="inlineStr">
        <is>
          <t>I2C / UART</t>
        </is>
      </c>
    </row>
    <row r="2178" outlineLevel="1" ht="15" customHeight="1">
      <c r="A2178" s="45" t="inlineStr">
        <is>
          <t>Supply</t>
        </is>
      </c>
      <c r="B2178" s="12" t="inlineStr">
        <is>
          <t>3.3V</t>
        </is>
      </c>
      <c r="E2178" s="45" t="inlineStr">
        <is>
          <t>Price</t>
        </is>
      </c>
      <c r="F2178" s="12" t="inlineStr">
        <is>
          <t>$16  ($$$)</t>
        </is>
      </c>
    </row>
    <row r="2179" outlineLevel="1" ht="15" customHeight="1">
      <c r="A2179" s="45" t="inlineStr">
        <is>
          <t>Difficulty</t>
        </is>
      </c>
      <c r="B2179" s="12" t="inlineStr">
        <is>
          <t>3 — Some skill — calibration, level shifting, timing, or datasheet reading required</t>
        </is>
      </c>
    </row>
    <row r="2180" outlineLevel="1" ht="23" customHeight="1">
      <c r="A2180" s="45" t="inlineStr">
        <is>
          <t>HOW</t>
        </is>
      </c>
      <c r="B2180" s="46" t="inlineStr">
        <is>
          <t>An Arm Ethos-U55 NPU runs your own trained models (SenseCraft web flow) and reports detections over I2C — bring-your-own-dataset edge vision.</t>
        </is>
      </c>
    </row>
    <row r="2181" outlineLevel="1" ht="17" customHeight="1">
      <c r="A2181" s="45" t="inlineStr">
        <is>
          <t>COMMON</t>
        </is>
      </c>
      <c r="B2181" s="46" t="inlineStr">
        <is>
          <t>Custom detectors: weeds, defects, packages, specific pets, meter dials.</t>
        </is>
      </c>
    </row>
    <row r="2182" outlineLevel="1" ht="25" customHeight="1">
      <c r="A2182" s="45" t="inlineStr">
        <is>
          <t>INVENTION</t>
        </is>
      </c>
      <c r="B2182" s="48" t="inlineStr">
        <is>
          <t>Analog-meter liberation: point it at ANY legacy gauge (water meter, pressure dial) and train a model to read the needle — digitise infrastructure without touching it.</t>
        </is>
      </c>
    </row>
    <row r="2183" outlineLevel="1" ht="15" customHeight="1">
      <c r="A2183" s="45" t="inlineStr">
        <is>
          <t>PAIRS</t>
        </is>
      </c>
      <c r="B2183" s="46" t="inlineStr">
        <is>
          <t>ESP32 + MQTT, solar for remote meters</t>
        </is>
      </c>
    </row>
    <row r="2184" outlineLevel="1" ht="16" customHeight="1">
      <c r="A2184" s="45" t="inlineStr">
        <is>
          <t>KEY</t>
        </is>
      </c>
      <c r="B2184" s="46" t="inlineStr">
        <is>
          <t>Runs quantised YOLO/MobileNet, 30+fps small models</t>
        </is>
      </c>
    </row>
    <row r="2185" outlineLevel="1" ht="16" customHeight="1">
      <c r="A2185" s="45" t="inlineStr">
        <is>
          <t>buy</t>
        </is>
      </c>
      <c r="B2185" s="49" t="inlineStr">
        <is>
          <t>SS · DK   |   boards: Grove Vision AI V2 + OV5647   |   lib: Seeed_Arduino_SSCMA   [High]</t>
        </is>
      </c>
    </row>
    <row r="2187" ht="22" customHeight="1">
      <c r="A2187" s="54" t="inlineStr">
        <is>
          <t>S170</t>
        </is>
      </c>
      <c r="B2187" s="55" t="inlineStr">
        <is>
          <t>Geiger counter kit   ·   RadiationD-v1.1 (SBM-20 tube)</t>
        </is>
      </c>
    </row>
    <row r="2188" outlineLevel="1" ht="15" customHeight="1">
      <c r="A2188" s="45" t="inlineStr">
        <is>
          <t>Category</t>
        </is>
      </c>
      <c r="B2188" s="12" t="inlineStr">
        <is>
          <t>Radiation &amp; Nuclear › Ionising radiation</t>
        </is>
      </c>
      <c r="E2188" s="45" t="inlineStr">
        <is>
          <t>Measures</t>
        </is>
      </c>
      <c r="F2188" s="12" t="inlineStr">
        <is>
          <t>Beta/gamma radiation (counts per minute → µSv/h)</t>
        </is>
      </c>
    </row>
    <row r="2189" outlineLevel="1" ht="15" customHeight="1">
      <c r="A2189" s="45" t="inlineStr">
        <is>
          <t>Modality</t>
        </is>
      </c>
      <c r="B2189" s="12" t="inlineStr">
        <is>
          <t>—</t>
        </is>
      </c>
      <c r="E2189" s="45" t="inlineStr">
        <is>
          <t>Interface</t>
        </is>
      </c>
      <c r="F2189" s="12" t="inlineStr">
        <is>
          <t>Pulse</t>
        </is>
      </c>
    </row>
    <row r="2190" outlineLevel="1" ht="15" customHeight="1">
      <c r="A2190" s="45" t="inlineStr">
        <is>
          <t>Supply</t>
        </is>
      </c>
      <c r="B2190" s="12" t="inlineStr">
        <is>
          <t>5V</t>
        </is>
      </c>
      <c r="E2190" s="45" t="inlineStr">
        <is>
          <t>Price</t>
        </is>
      </c>
      <c r="F2190" s="12" t="inlineStr">
        <is>
          <t>$25  ($$$)</t>
        </is>
      </c>
    </row>
    <row r="2191" outlineLevel="1" ht="15" customHeight="1">
      <c r="A2191" s="45" t="inlineStr">
        <is>
          <t>Difficulty</t>
        </is>
      </c>
      <c r="B2191" s="12" t="inlineStr">
        <is>
          <t>2 — Easy — breadboard wiring, a well-documented library, no analog thought needed</t>
        </is>
      </c>
    </row>
    <row r="2192" outlineLevel="1" ht="23" customHeight="1">
      <c r="A2192" s="45" t="inlineStr">
        <is>
          <t>HOW</t>
        </is>
      </c>
      <c r="B2192" s="46" t="inlineStr">
        <is>
          <t>A 400V tube briefly conducts when a radiation particle ionises its gas — each click is one particle. Counts per minute map to dose rate.</t>
        </is>
      </c>
    </row>
    <row r="2193" outlineLevel="1" ht="20" customHeight="1">
      <c r="A2193" s="45" t="inlineStr">
        <is>
          <t>COMMON</t>
        </is>
      </c>
      <c r="B2193" s="46" t="inlineStr">
        <is>
          <t>Background monitoring, rock/antique testing (uranium glass!), radon-adjacent awareness, citizen networks.</t>
        </is>
      </c>
    </row>
    <row r="2194" outlineLevel="1" ht="22" customHeight="1">
      <c r="A2194" s="45" t="inlineStr">
        <is>
          <t>INVENTION</t>
        </is>
      </c>
      <c r="B2194" s="48" t="inlineStr">
        <is>
          <t>Join/extend uRADMonitor-style open radiation maps; or build a 'hot rock' museum scanner for your kids' mineral collection.</t>
        </is>
      </c>
    </row>
    <row r="2195" outlineLevel="1" ht="15" customHeight="1">
      <c r="A2195" s="45" t="inlineStr">
        <is>
          <t>PAIRS</t>
        </is>
      </c>
      <c r="B2195" s="46" t="inlineStr">
        <is>
          <t>GPS + SD for survey walks, MQTT to public map</t>
        </is>
      </c>
    </row>
    <row r="2196" outlineLevel="1" ht="15" customHeight="1">
      <c r="A2196" s="45" t="inlineStr">
        <is>
          <t>KEY</t>
        </is>
      </c>
      <c r="B2196" s="46" t="inlineStr">
        <is>
          <t>SBM-20 tube, ~22 CPM background typical</t>
        </is>
      </c>
    </row>
    <row r="2197" outlineLevel="1" ht="16" customHeight="1">
      <c r="A2197" s="45" t="inlineStr">
        <is>
          <t>buy</t>
        </is>
      </c>
      <c r="B2197" s="49" t="inlineStr">
        <is>
          <t>AE · AMZ   |   boards: RadiationD-v1.1, MightyOhm kit   |   lib: Interrupt counter + conversion   [High]</t>
        </is>
      </c>
    </row>
    <row r="2199" ht="22" customHeight="1">
      <c r="A2199" s="54" t="inlineStr">
        <is>
          <t>S171</t>
        </is>
      </c>
      <c r="B2199" s="55" t="inlineStr">
        <is>
          <t>RD200 radon sensor   ·   RadonEye RD200 (hack) / RD200M</t>
        </is>
      </c>
    </row>
    <row r="2200" outlineLevel="1" ht="15" customHeight="1">
      <c r="A2200" s="45" t="inlineStr">
        <is>
          <t>Category</t>
        </is>
      </c>
      <c r="B2200" s="12" t="inlineStr">
        <is>
          <t>Radiation &amp; Nuclear › Radon gas</t>
        </is>
      </c>
      <c r="E2200" s="45" t="inlineStr">
        <is>
          <t>Measures</t>
        </is>
      </c>
      <c r="F2200" s="12" t="inlineStr">
        <is>
          <t>Radon concentration (the #2 cause of lung cancer)</t>
        </is>
      </c>
    </row>
    <row r="2201" outlineLevel="1" ht="15" customHeight="1">
      <c r="A2201" s="45" t="inlineStr">
        <is>
          <t>Modality</t>
        </is>
      </c>
      <c r="B2201" s="12" t="inlineStr">
        <is>
          <t>—</t>
        </is>
      </c>
      <c r="E2201" s="45" t="inlineStr">
        <is>
          <t>Interface</t>
        </is>
      </c>
      <c r="F2201" s="12" t="inlineStr">
        <is>
          <t>UART</t>
        </is>
      </c>
    </row>
    <row r="2202" outlineLevel="1" ht="15" customHeight="1">
      <c r="A2202" s="45" t="inlineStr">
        <is>
          <t>Supply</t>
        </is>
      </c>
      <c r="B2202" s="12" t="inlineStr">
        <is>
          <t>12V/USB</t>
        </is>
      </c>
      <c r="E2202" s="45" t="inlineStr">
        <is>
          <t>Price</t>
        </is>
      </c>
      <c r="F2202" s="12" t="inlineStr">
        <is>
          <t>$180  ($$$$)</t>
        </is>
      </c>
    </row>
    <row r="2203" outlineLevel="1" ht="15" customHeight="1">
      <c r="A2203" s="45" t="inlineStr">
        <is>
          <t>Difficulty</t>
        </is>
      </c>
      <c r="B2203" s="12" t="inlineStr">
        <is>
          <t>3 — Some skill — calibration, level shifting, timing, or datasheet reading required</t>
        </is>
      </c>
    </row>
    <row r="2204" outlineLevel="1" ht="24" customHeight="1">
      <c r="A2204" s="45" t="inlineStr">
        <is>
          <t>HOW</t>
        </is>
      </c>
      <c r="B2204" s="46" t="inlineStr">
        <is>
          <t>An ion chamber counts alpha decays of radon daughters in air — the RD200M OEM module speaks UART; the consumer RD200 leaks data over BLE an ESP32 can read.</t>
        </is>
      </c>
    </row>
    <row r="2205" outlineLevel="1" ht="18" customHeight="1">
      <c r="A2205" s="45" t="inlineStr">
        <is>
          <t>COMMON</t>
        </is>
      </c>
      <c r="B2205" s="46" t="inlineStr">
        <is>
          <t>Basement radon dashboards, mitigation-fan automation, rental disclosure logging.</t>
        </is>
      </c>
    </row>
    <row r="2206" outlineLevel="1" ht="24" customHeight="1">
      <c r="A2206" s="45" t="inlineStr">
        <is>
          <t>INVENTION</t>
        </is>
      </c>
      <c r="B2206" s="48" t="inlineStr">
        <is>
          <t>Radon-aware ventilation: fan runs only when radon ACTUALLY rises (it varies hugely with weather) — health protection that also saves heating energy.</t>
        </is>
      </c>
    </row>
    <row r="2207" outlineLevel="1" ht="15" customHeight="1">
      <c r="A2207" s="45" t="inlineStr">
        <is>
          <t>PAIRS</t>
        </is>
      </c>
      <c r="B2207" s="46" t="inlineStr">
        <is>
          <t>Fan relay + BMP390 (pressure correlates!)</t>
        </is>
      </c>
    </row>
    <row r="2208" outlineLevel="1" ht="15" customHeight="1">
      <c r="A2208" s="45" t="inlineStr">
        <is>
          <t>KEY</t>
        </is>
      </c>
      <c r="B2208" s="46" t="inlineStr">
        <is>
          <t>0-99 pCi/L, 10min updates</t>
        </is>
      </c>
    </row>
    <row r="2209" outlineLevel="1" ht="16" customHeight="1">
      <c r="A2209" s="45" t="inlineStr">
        <is>
          <t>buy</t>
        </is>
      </c>
      <c r="B2209" s="49" t="inlineStr">
        <is>
          <t>AMZ · AE   |   boards: RD200 + ESP32 BLE bridge   |   lib: Community BLE bridges (ESPHome)   [High]</t>
        </is>
      </c>
    </row>
    <row r="2211" ht="22" customHeight="1">
      <c r="A2211" s="54" t="inlineStr">
        <is>
          <t>S172</t>
        </is>
      </c>
      <c r="B2211" s="55" t="inlineStr">
        <is>
          <t>EMF / RF field probes   ·   AD8318 RF detector / coil probes</t>
        </is>
      </c>
    </row>
    <row r="2212" outlineLevel="1" ht="15" customHeight="1">
      <c r="A2212" s="45" t="inlineStr">
        <is>
          <t>Category</t>
        </is>
      </c>
      <c r="B2212" s="12" t="inlineStr">
        <is>
          <t>RF &amp; Electromagnetic › RF &amp; EM fields</t>
        </is>
      </c>
      <c r="E2212" s="45" t="inlineStr">
        <is>
          <t>Measures</t>
        </is>
      </c>
      <c r="F2212" s="12" t="inlineStr">
        <is>
          <t>RF power density / mains EM fields</t>
        </is>
      </c>
    </row>
    <row r="2213" outlineLevel="1" ht="15" customHeight="1">
      <c r="A2213" s="45" t="inlineStr">
        <is>
          <t>Modality</t>
        </is>
      </c>
      <c r="B2213" s="12" t="inlineStr">
        <is>
          <t>—</t>
        </is>
      </c>
      <c r="E2213" s="45" t="inlineStr">
        <is>
          <t>Interface</t>
        </is>
      </c>
      <c r="F2213" s="12" t="inlineStr">
        <is>
          <t>Analog</t>
        </is>
      </c>
    </row>
    <row r="2214" outlineLevel="1" ht="15" customHeight="1">
      <c r="A2214" s="45" t="inlineStr">
        <is>
          <t>Supply</t>
        </is>
      </c>
      <c r="B2214" s="12" t="inlineStr">
        <is>
          <t>5V</t>
        </is>
      </c>
      <c r="E2214" s="45" t="inlineStr">
        <is>
          <t>Price</t>
        </is>
      </c>
      <c r="F2214" s="12" t="inlineStr">
        <is>
          <t>$12  ($$)</t>
        </is>
      </c>
    </row>
    <row r="2215" outlineLevel="1" ht="15" customHeight="1">
      <c r="A2215" s="45" t="inlineStr">
        <is>
          <t>Difficulty</t>
        </is>
      </c>
      <c r="B2215" s="12" t="inlineStr">
        <is>
          <t>3 — Some skill — calibration, level shifting, timing, or datasheet reading required</t>
        </is>
      </c>
    </row>
    <row r="2216" outlineLevel="1" ht="26" customHeight="1">
      <c r="A2216" s="45" t="inlineStr">
        <is>
          <t>HOW</t>
        </is>
      </c>
      <c r="B2216" s="46" t="inlineStr">
        <is>
          <t>Log-detector chips convert RF energy 1MHz-8GHz into a DC voltage; simple coils + ADC reveal 50Hz mains fields — a window into the invisible electromagnetic environment.</t>
        </is>
      </c>
    </row>
    <row r="2217" outlineLevel="1" ht="20" customHeight="1">
      <c r="A2217" s="45" t="inlineStr">
        <is>
          <t>COMMON</t>
        </is>
      </c>
      <c r="B2217" s="46" t="inlineStr">
        <is>
          <t>Wi-Fi/transmitter surveys, microwave-oven leak checks, 'haunted house' EMF props, EMC pre-checks.</t>
        </is>
      </c>
    </row>
    <row r="2218" outlineLevel="1" ht="24" customHeight="1">
      <c r="A2218" s="45" t="inlineStr">
        <is>
          <t>INVENTION</t>
        </is>
      </c>
      <c r="B2218" s="48" t="inlineStr">
        <is>
          <t>An RF heatmap rover: drive a little robot around the house logging Wi-Fi RSSI + RF power per cm — visualise your home's invisible radio weather.</t>
        </is>
      </c>
    </row>
    <row r="2219" outlineLevel="1" ht="15" customHeight="1">
      <c r="A2219" s="45" t="inlineStr">
        <is>
          <t>PAIRS</t>
        </is>
      </c>
      <c r="B2219" s="46" t="inlineStr">
        <is>
          <t>Robot platform + GPS/odometry, heatmap plotting</t>
        </is>
      </c>
    </row>
    <row r="2220" outlineLevel="1" ht="15" customHeight="1">
      <c r="A2220" s="45" t="inlineStr">
        <is>
          <t>KEY</t>
        </is>
      </c>
      <c r="B2220" s="46" t="inlineStr">
        <is>
          <t>AD8318: -60..0dBm, 1M-8GHz</t>
        </is>
      </c>
    </row>
    <row r="2221" outlineLevel="1" ht="16" customHeight="1">
      <c r="A2221" s="45" t="inlineStr">
        <is>
          <t>buy</t>
        </is>
      </c>
      <c r="B2221" s="49" t="inlineStr">
        <is>
          <t>AE · AMZ · DK   |   boards: AD8318 modules, DIY coil probes   |   lib: analogRead + calibration   [High]</t>
        </is>
      </c>
    </row>
    <row r="2223" ht="22" customHeight="1">
      <c r="A2223" s="54" t="inlineStr">
        <is>
          <t>S173</t>
        </is>
      </c>
      <c r="B2223" s="55" t="inlineStr">
        <is>
          <t>SI4432/CC1101 sub-GHz sniffer   ·   CC1101 module</t>
        </is>
      </c>
    </row>
    <row r="2224" outlineLevel="1" ht="15" customHeight="1">
      <c r="A2224" s="45" t="inlineStr">
        <is>
          <t>Category</t>
        </is>
      </c>
      <c r="B2224" s="12" t="inlineStr">
        <is>
          <t>RF &amp; Electromagnetic › Sub-GHz radio</t>
        </is>
      </c>
      <c r="E2224" s="45" t="inlineStr">
        <is>
          <t>Measures</t>
        </is>
      </c>
      <c r="F2224" s="12" t="inlineStr">
        <is>
          <t>433/868/915MHz device traffic (sensors, remotes)</t>
        </is>
      </c>
    </row>
    <row r="2225" outlineLevel="1" ht="15" customHeight="1">
      <c r="A2225" s="45" t="inlineStr">
        <is>
          <t>Modality</t>
        </is>
      </c>
      <c r="B2225" s="12" t="inlineStr">
        <is>
          <t>—</t>
        </is>
      </c>
      <c r="E2225" s="45" t="inlineStr">
        <is>
          <t>Interface</t>
        </is>
      </c>
      <c r="F2225" s="12" t="inlineStr">
        <is>
          <t>SPI</t>
        </is>
      </c>
    </row>
    <row r="2226" outlineLevel="1" ht="15" customHeight="1">
      <c r="A2226" s="45" t="inlineStr">
        <is>
          <t>Supply</t>
        </is>
      </c>
      <c r="B2226" s="12" t="inlineStr">
        <is>
          <t>1.8-3.6V</t>
        </is>
      </c>
      <c r="E2226" s="45" t="inlineStr">
        <is>
          <t>Price</t>
        </is>
      </c>
      <c r="F2226" s="12" t="inlineStr">
        <is>
          <t>$4  ($)</t>
        </is>
      </c>
    </row>
    <row r="2227" outlineLevel="1" ht="15" customHeight="1">
      <c r="A2227" s="45" t="inlineStr">
        <is>
          <t>Difficulty</t>
        </is>
      </c>
      <c r="B2227" s="12" t="inlineStr">
        <is>
          <t>4 — Advanced — analog front-ends, protocol work, mechanical integration, or real safety</t>
        </is>
      </c>
    </row>
    <row r="2228" outlineLevel="1" ht="25" customHeight="1">
      <c r="A2228" s="45" t="inlineStr">
        <is>
          <t>HOW</t>
        </is>
      </c>
      <c r="B2228" s="46" t="inlineStr">
        <is>
          <t>A configurable sub-GHz transceiver tunes the bands where weather stations, doorbells, tire sensors and remotes chatter — receive, decode, and (legally) replay.</t>
        </is>
      </c>
    </row>
    <row r="2229" outlineLevel="1" ht="19" customHeight="1">
      <c r="A2229" s="45" t="inlineStr">
        <is>
          <t>COMMON</t>
        </is>
      </c>
      <c r="B2229" s="46" t="inlineStr">
        <is>
          <t>Receiving your existing 433MHz sensors, gate-remote integration, TPMS tire-pressure reading.</t>
        </is>
      </c>
    </row>
    <row r="2230" outlineLevel="1" ht="24" customHeight="1">
      <c r="A2230" s="45" t="inlineStr">
        <is>
          <t>INVENTION</t>
        </is>
      </c>
      <c r="B2230" s="48" t="inlineStr">
        <is>
          <t>Adopt the neighbourhood's orphan sensors: dozens of 433MHz weather/soil sensors already broadcast around you — one CC1101 turns them ALL into your data.</t>
        </is>
      </c>
    </row>
    <row r="2231" outlineLevel="1" ht="15" customHeight="1">
      <c r="A2231" s="45" t="inlineStr">
        <is>
          <t>PAIRS</t>
        </is>
      </c>
      <c r="B2231" s="46" t="inlineStr">
        <is>
          <t>rtl_433 decoders ported, MQTT republishing</t>
        </is>
      </c>
    </row>
    <row r="2232" outlineLevel="1" ht="15" customHeight="1">
      <c r="A2232" s="45" t="inlineStr">
        <is>
          <t>KEY</t>
        </is>
      </c>
      <c r="B2232" s="46" t="inlineStr">
        <is>
          <t>300-928MHz, OOK/FSK; check local TX laws</t>
        </is>
      </c>
    </row>
    <row r="2233" outlineLevel="1" ht="16" customHeight="1">
      <c r="A2233" s="45" t="inlineStr">
        <is>
          <t>buy</t>
        </is>
      </c>
      <c r="B2233" s="49" t="inlineStr">
        <is>
          <t>AE · AMZ   |   boards: CC1101 green modules   |   lib: RadioLib, rtl_433 (for decode knowledge)   [High]</t>
        </is>
      </c>
    </row>
    <row r="2235" ht="22" customHeight="1">
      <c r="A2235" s="54" t="inlineStr">
        <is>
          <t>S174</t>
        </is>
      </c>
      <c r="B2235" s="55" t="inlineStr">
        <is>
          <t>RC522 RFID reader   ·   MFRC522</t>
        </is>
      </c>
    </row>
    <row r="2236" outlineLevel="1" ht="15" customHeight="1">
      <c r="A2236" s="45" t="inlineStr">
        <is>
          <t>Category</t>
        </is>
      </c>
      <c r="B2236" s="12" t="inlineStr">
        <is>
          <t>Identity &amp; Tags › 13.56MHz RFID</t>
        </is>
      </c>
      <c r="E2236" s="45" t="inlineStr">
        <is>
          <t>Measures</t>
        </is>
      </c>
      <c r="F2236" s="12" t="inlineStr">
        <is>
          <t>Card/tag IDs at ~3cm</t>
        </is>
      </c>
    </row>
    <row r="2237" outlineLevel="1" ht="15" customHeight="1">
      <c r="A2237" s="45" t="inlineStr">
        <is>
          <t>Modality</t>
        </is>
      </c>
      <c r="B2237" s="12" t="inlineStr">
        <is>
          <t>—</t>
        </is>
      </c>
      <c r="E2237" s="45" t="inlineStr">
        <is>
          <t>Interface</t>
        </is>
      </c>
      <c r="F2237" s="12" t="inlineStr">
        <is>
          <t>SPI</t>
        </is>
      </c>
    </row>
    <row r="2238" outlineLevel="1" ht="15" customHeight="1">
      <c r="A2238" s="45" t="inlineStr">
        <is>
          <t>Supply</t>
        </is>
      </c>
      <c r="B2238" s="12" t="inlineStr">
        <is>
          <t>3.3V</t>
        </is>
      </c>
      <c r="E2238" s="45" t="inlineStr">
        <is>
          <t>Price</t>
        </is>
      </c>
      <c r="F2238" s="12" t="inlineStr">
        <is>
          <t>$2  ($)</t>
        </is>
      </c>
    </row>
    <row r="2239" outlineLevel="1" ht="15" customHeight="1">
      <c r="A2239" s="45" t="inlineStr">
        <is>
          <t>Difficulty</t>
        </is>
      </c>
      <c r="B2239" s="12" t="inlineStr">
        <is>
          <t>1 — Plug and play — Qwiic/STEMMA cable or 3 wires, library example works first time</t>
        </is>
      </c>
    </row>
    <row r="2240" outlineLevel="1" ht="24" customHeight="1">
      <c r="A2240" s="45" t="inlineStr">
        <is>
          <t>HOW</t>
        </is>
      </c>
      <c r="B2240" s="46" t="inlineStr">
        <is>
          <t>The reader's coil powers the passive tag by induction; the tag modulates that field with its ID — reading credentials with no battery in the tag.</t>
        </is>
      </c>
    </row>
    <row r="2241" outlineLevel="1" ht="18" customHeight="1">
      <c r="A2241" s="45" t="inlineStr">
        <is>
          <t>COMMON</t>
        </is>
      </c>
      <c r="B2241" s="46" t="inlineStr">
        <is>
          <t>Door access, tool checkout, board-game pieces, museum object-triggered exhibits.</t>
        </is>
      </c>
    </row>
    <row r="2242" outlineLevel="1" ht="25" customHeight="1">
      <c r="A2242" s="45" t="inlineStr">
        <is>
          <t>INVENTION</t>
        </is>
      </c>
      <c r="B2242" s="48" t="inlineStr">
        <is>
          <t>Physical playlists: a shelf of wooden tokens, each an album — tap one on the speaker to play it. Tangible interfaces beat touchscreens for kids and grandparents alike.</t>
        </is>
      </c>
    </row>
    <row r="2243" outlineLevel="1" ht="15" customHeight="1">
      <c r="A2243" s="45" t="inlineStr">
        <is>
          <t>PAIRS</t>
        </is>
      </c>
      <c r="B2243" s="46" t="inlineStr">
        <is>
          <t>Music API/MQTT, solenoid locks, audit logs</t>
        </is>
      </c>
    </row>
    <row r="2244" outlineLevel="1" ht="15" customHeight="1">
      <c r="A2244" s="45" t="inlineStr">
        <is>
          <t>KEY</t>
        </is>
      </c>
      <c r="B2244" s="46" t="inlineStr">
        <is>
          <t>MIFARE Classic/NTAG, 3-5cm range</t>
        </is>
      </c>
    </row>
    <row r="2245" outlineLevel="1" ht="16" customHeight="1">
      <c r="A2245" s="45" t="inlineStr">
        <is>
          <t>buy</t>
        </is>
      </c>
      <c r="B2245" s="49" t="inlineStr">
        <is>
          <t>AE · AMZ · SF · CE   |   boards: RC522 blue board + cards/fobs   |   lib: MFRC522   [High]</t>
        </is>
      </c>
    </row>
    <row r="2247" ht="22" customHeight="1">
      <c r="A2247" s="54" t="inlineStr">
        <is>
          <t>S175</t>
        </is>
      </c>
      <c r="B2247" s="55" t="inlineStr">
        <is>
          <t>PN532 NFC controller   ·   PN532</t>
        </is>
      </c>
    </row>
    <row r="2248" outlineLevel="1" ht="15" customHeight="1">
      <c r="A2248" s="45" t="inlineStr">
        <is>
          <t>Category</t>
        </is>
      </c>
      <c r="B2248" s="12" t="inlineStr">
        <is>
          <t>Identity &amp; Tags › Full NFC</t>
        </is>
      </c>
      <c r="E2248" s="45" t="inlineStr">
        <is>
          <t>Measures</t>
        </is>
      </c>
      <c r="F2248" s="12" t="inlineStr">
        <is>
          <t>NFC read/write + phone P2P + card emulation</t>
        </is>
      </c>
    </row>
    <row r="2249" outlineLevel="1" ht="15" customHeight="1">
      <c r="A2249" s="45" t="inlineStr">
        <is>
          <t>Modality</t>
        </is>
      </c>
      <c r="B2249" s="12" t="inlineStr">
        <is>
          <t>—</t>
        </is>
      </c>
      <c r="E2249" s="45" t="inlineStr">
        <is>
          <t>Interface</t>
        </is>
      </c>
      <c r="F2249" s="12" t="inlineStr">
        <is>
          <t>I2C / SPI / UART</t>
        </is>
      </c>
    </row>
    <row r="2250" outlineLevel="1" ht="15" customHeight="1">
      <c r="A2250" s="45" t="inlineStr">
        <is>
          <t>Supply</t>
        </is>
      </c>
      <c r="B2250" s="12" t="inlineStr">
        <is>
          <t>3.3-5V</t>
        </is>
      </c>
      <c r="E2250" s="45" t="inlineStr">
        <is>
          <t>Price</t>
        </is>
      </c>
      <c r="F2250" s="12" t="inlineStr">
        <is>
          <t>$6  ($$)</t>
        </is>
      </c>
    </row>
    <row r="2251" outlineLevel="1" ht="15" customHeight="1">
      <c r="A2251" s="45" t="inlineStr">
        <is>
          <t>Difficulty</t>
        </is>
      </c>
      <c r="B2251" s="12" t="inlineStr">
        <is>
          <t>2 — Easy — breadboard wiring, a well-documented library, no analog thought needed</t>
        </is>
      </c>
    </row>
    <row r="2252" outlineLevel="1" ht="25" customHeight="1">
      <c r="A2252" s="45" t="inlineStr">
        <is>
          <t>HOW</t>
        </is>
      </c>
      <c r="B2252" s="46" t="inlineStr">
        <is>
          <t>Full NFC stack: reads/writes tags, talks to phones, and can even emulate a card itself — the bridge between hobby hardware and the NFC in everyone's pocket.</t>
        </is>
      </c>
    </row>
    <row r="2253" outlineLevel="1" ht="20" customHeight="1">
      <c r="A2253" s="45" t="inlineStr">
        <is>
          <t>COMMON</t>
        </is>
      </c>
      <c r="B2253" s="46" t="inlineStr">
        <is>
          <t>Phone-tap configuration of devices, NFC business cards, tap-to-pair provisioning, inventory wands.</t>
        </is>
      </c>
    </row>
    <row r="2254" outlineLevel="1" ht="25" customHeight="1">
      <c r="A2254" s="45" t="inlineStr">
        <is>
          <t>INVENTION</t>
        </is>
      </c>
      <c r="B2254" s="48" t="inlineStr">
        <is>
          <t>Tap-provisioning for your sensor fleet: tap your phone on a new node and it writes Wi-Fi credentials + name over NFC — the onboarding UX of commercial products.</t>
        </is>
      </c>
    </row>
    <row r="2255" outlineLevel="1" ht="15" customHeight="1">
      <c r="A2255" s="45" t="inlineStr">
        <is>
          <t>PAIRS</t>
        </is>
      </c>
      <c r="B2255" s="46" t="inlineStr">
        <is>
          <t>ESP32 provisioning flow, NTAG215 stickers</t>
        </is>
      </c>
    </row>
    <row r="2256" outlineLevel="1" ht="15" customHeight="1">
      <c r="A2256" s="45" t="inlineStr">
        <is>
          <t>KEY</t>
        </is>
      </c>
      <c r="B2256" s="46" t="inlineStr">
        <is>
          <t>ISO14443A/B, NDEF, card emulation</t>
        </is>
      </c>
    </row>
    <row r="2257" outlineLevel="1" ht="16" customHeight="1">
      <c r="A2257" s="45" t="inlineStr">
        <is>
          <t>buy</t>
        </is>
      </c>
      <c r="B2257" s="49" t="inlineStr">
        <is>
          <t>AE · AF · DK · CE   |   boards: PN532 red/blue boards (DIP switch iface)   |   lib: Adafruit_PN532   [High]</t>
        </is>
      </c>
    </row>
    <row r="2259" ht="22" customHeight="1">
      <c r="A2259" s="54" t="inlineStr">
        <is>
          <t>S176</t>
        </is>
      </c>
      <c r="B2259" s="55" t="inlineStr">
        <is>
          <t>125kHz RDM6300 RFID   ·   RDM6300</t>
        </is>
      </c>
    </row>
    <row r="2260" outlineLevel="1" ht="15" customHeight="1">
      <c r="A2260" s="45" t="inlineStr">
        <is>
          <t>Category</t>
        </is>
      </c>
      <c r="B2260" s="12" t="inlineStr">
        <is>
          <t>Identity &amp; Tags › 125kHz (animal tags)</t>
        </is>
      </c>
      <c r="E2260" s="45" t="inlineStr">
        <is>
          <t>Measures</t>
        </is>
      </c>
      <c r="F2260" s="12" t="inlineStr">
        <is>
          <t>EM4100-class tag IDs incl. pet microchip adjacent</t>
        </is>
      </c>
    </row>
    <row r="2261" outlineLevel="1" ht="15" customHeight="1">
      <c r="A2261" s="45" t="inlineStr">
        <is>
          <t>Modality</t>
        </is>
      </c>
      <c r="B2261" s="12" t="inlineStr">
        <is>
          <t>—</t>
        </is>
      </c>
      <c r="E2261" s="45" t="inlineStr">
        <is>
          <t>Interface</t>
        </is>
      </c>
      <c r="F2261" s="12" t="inlineStr">
        <is>
          <t>UART</t>
        </is>
      </c>
    </row>
    <row r="2262" outlineLevel="1" ht="15" customHeight="1">
      <c r="A2262" s="45" t="inlineStr">
        <is>
          <t>Supply</t>
        </is>
      </c>
      <c r="B2262" s="12" t="inlineStr">
        <is>
          <t>5V</t>
        </is>
      </c>
      <c r="E2262" s="45" t="inlineStr">
        <is>
          <t>Price</t>
        </is>
      </c>
      <c r="F2262" s="12" t="inlineStr">
        <is>
          <t>$3  ($)</t>
        </is>
      </c>
    </row>
    <row r="2263" outlineLevel="1" ht="15" customHeight="1">
      <c r="A2263" s="45" t="inlineStr">
        <is>
          <t>Difficulty</t>
        </is>
      </c>
      <c r="B2263" s="12" t="inlineStr">
        <is>
          <t>1 — Plug and play — Qwiic/STEMMA cable or 3 wires, library example works first time</t>
        </is>
      </c>
    </row>
    <row r="2264" outlineLevel="1" ht="23" customHeight="1">
      <c r="A2264" s="45" t="inlineStr">
        <is>
          <t>HOW</t>
        </is>
      </c>
      <c r="B2264" s="46" t="inlineStr">
        <is>
          <t>Low-frequency induction reading — the band used by older access fobs and (with FDX-B readers) pet microchips and livestock ear tags.</t>
        </is>
      </c>
    </row>
    <row r="2265" outlineLevel="1" ht="17" customHeight="1">
      <c r="A2265" s="45" t="inlineStr">
        <is>
          <t>COMMON</t>
        </is>
      </c>
      <c r="B2265" s="46" t="inlineStr">
        <is>
          <t>Pet doors, livestock feeders, legacy access systems, cheap object ID.</t>
        </is>
      </c>
    </row>
    <row r="2266" outlineLevel="1" ht="21" customHeight="1">
      <c r="A2266" s="45" t="inlineStr">
        <is>
          <t>INVENTION</t>
        </is>
      </c>
      <c r="B2266" s="48" t="inlineStr">
        <is>
          <t>A chicken-coop census: each hen wears a leg tag; the pop-door logs who's in by dusk and texts if Henrietta is missing.</t>
        </is>
      </c>
    </row>
    <row r="2267" outlineLevel="1" ht="15" customHeight="1">
      <c r="A2267" s="45" t="inlineStr">
        <is>
          <t>PAIRS</t>
        </is>
      </c>
      <c r="B2267" s="46" t="inlineStr">
        <is>
          <t>Servo door + RTC scheduling + roll call logic</t>
        </is>
      </c>
    </row>
    <row r="2268" outlineLevel="1" ht="16" customHeight="1">
      <c r="A2268" s="45" t="inlineStr">
        <is>
          <t>KEY</t>
        </is>
      </c>
      <c r="B2268" s="46" t="inlineStr">
        <is>
          <t>EM4100; for actual pet chips use FDX-B readers (~$25)</t>
        </is>
      </c>
    </row>
    <row r="2269" outlineLevel="1" ht="16" customHeight="1">
      <c r="A2269" s="45" t="inlineStr">
        <is>
          <t>buy</t>
        </is>
      </c>
      <c r="B2269" s="49" t="inlineStr">
        <is>
          <t>AE · AMZ   |   boards: RDM6300 + coil antenna   |   lib: UART parse   [High]</t>
        </is>
      </c>
    </row>
    <row r="2271" ht="22" customHeight="1">
      <c r="A2271" s="54" t="inlineStr">
        <is>
          <t>S177</t>
        </is>
      </c>
      <c r="B2271" s="55" t="inlineStr">
        <is>
          <t>FS3000 air velocity   ·   FS3000-1005/1015</t>
        </is>
      </c>
    </row>
    <row r="2272" outlineLevel="1" ht="15" customHeight="1">
      <c r="A2272" s="45" t="inlineStr">
        <is>
          <t>Category</t>
        </is>
      </c>
      <c r="B2272" s="12" t="inlineStr">
        <is>
          <t>Weather &amp; Outdoor › Airflow speed</t>
        </is>
      </c>
      <c r="E2272" s="45" t="inlineStr">
        <is>
          <t>Measures</t>
        </is>
      </c>
      <c r="F2272" s="12" t="inlineStr">
        <is>
          <t>Air speed 0-7.2 or 0-15 m/s (true anemometry, solid-state)</t>
        </is>
      </c>
    </row>
    <row r="2273" outlineLevel="1" ht="15" customHeight="1">
      <c r="A2273" s="45" t="inlineStr">
        <is>
          <t>Modality</t>
        </is>
      </c>
      <c r="B2273" s="12" t="inlineStr">
        <is>
          <t>—</t>
        </is>
      </c>
      <c r="E2273" s="45" t="inlineStr">
        <is>
          <t>Interface</t>
        </is>
      </c>
      <c r="F2273" s="12" t="inlineStr">
        <is>
          <t>I2C</t>
        </is>
      </c>
    </row>
    <row r="2274" outlineLevel="1" ht="15" customHeight="1">
      <c r="A2274" s="45" t="inlineStr">
        <is>
          <t>Supply</t>
        </is>
      </c>
      <c r="B2274" s="12" t="inlineStr">
        <is>
          <t>3.3V</t>
        </is>
      </c>
      <c r="E2274" s="45" t="inlineStr">
        <is>
          <t>Price</t>
        </is>
      </c>
      <c r="F2274" s="12" t="inlineStr">
        <is>
          <t>$26  ($$$)</t>
        </is>
      </c>
    </row>
    <row r="2275" outlineLevel="1" ht="15" customHeight="1">
      <c r="A2275" s="45" t="inlineStr">
        <is>
          <t>Difficulty</t>
        </is>
      </c>
      <c r="B2275" s="12" t="inlineStr">
        <is>
          <t>1 — Plug and play — Qwiic/STEMMA cable or 3 wires, library example works first time</t>
        </is>
      </c>
    </row>
    <row r="2276" outlineLevel="1" ht="24" customHeight="1">
      <c r="A2276" s="45" t="inlineStr">
        <is>
          <t>HOW</t>
        </is>
      </c>
      <c r="B2276" s="46" t="inlineStr">
        <is>
          <t>A heated element cools in moving air; measuring the heat carried away gives true air velocity with no moving parts — duct and vent anemometry on I2C.</t>
        </is>
      </c>
    </row>
    <row r="2277" outlineLevel="1" ht="18" customHeight="1">
      <c r="A2277" s="45" t="inlineStr">
        <is>
          <t>COMMON</t>
        </is>
      </c>
      <c r="B2277" s="46" t="inlineStr">
        <is>
          <t>HVAC duct balancing, fume-hood face velocity, server-rack airflow, wind tunnels.</t>
        </is>
      </c>
    </row>
    <row r="2278" outlineLevel="1" ht="24" customHeight="1">
      <c r="A2278" s="45" t="inlineStr">
        <is>
          <t>INVENTION</t>
        </is>
      </c>
      <c r="B2278" s="48" t="inlineStr">
        <is>
          <t>Room-by-room ventilation truth: actual air-changes-per-hour from duct velocity — the missing number in every 'why is this room stuffy' argument.</t>
        </is>
      </c>
    </row>
    <row r="2279" outlineLevel="1" ht="15" customHeight="1">
      <c r="A2279" s="45" t="inlineStr">
        <is>
          <t>PAIRS</t>
        </is>
      </c>
      <c r="B2279" s="46" t="inlineStr">
        <is>
          <t>SCD41 (CO2 decay validates ACH), SDP810</t>
        </is>
      </c>
    </row>
    <row r="2280" outlineLevel="1" ht="15" customHeight="1">
      <c r="A2280" s="45" t="inlineStr">
        <is>
          <t>KEY</t>
        </is>
      </c>
      <c r="B2280" s="46" t="inlineStr">
        <is>
          <t>±5%, 0-15m/s version for ducts</t>
        </is>
      </c>
    </row>
    <row r="2281" outlineLevel="1" ht="16" customHeight="1">
      <c r="A2281" s="45" t="inlineStr">
        <is>
          <t>buy</t>
        </is>
      </c>
      <c r="B2281" s="49" t="inlineStr">
        <is>
          <t>SF · DK · MO   |   boards: SparkFun SEN-18768   |   lib: SparkFun FS3000   [High]</t>
        </is>
      </c>
    </row>
    <row r="2283" ht="22" customHeight="1">
      <c r="A2283" s="54" t="inlineStr">
        <is>
          <t>S178</t>
        </is>
      </c>
      <c r="B2283" s="55" t="inlineStr">
        <is>
          <t>LDC1612 inductive sensing   ·   LDC1612 / LDC1101</t>
        </is>
      </c>
    </row>
    <row r="2284" outlineLevel="1" ht="15" customHeight="1">
      <c r="A2284" s="45" t="inlineStr">
        <is>
          <t>Category</t>
        </is>
      </c>
      <c r="B2284" s="12" t="inlineStr">
        <is>
          <t>Industrial &amp; Automotive › Inductive (metal)</t>
        </is>
      </c>
      <c r="E2284" s="45" t="inlineStr">
        <is>
          <t>Measures</t>
        </is>
      </c>
      <c r="F2284" s="12" t="inlineStr">
        <is>
          <t>Metal distance/presence/material via coil inductance</t>
        </is>
      </c>
    </row>
    <row r="2285" outlineLevel="1" ht="15" customHeight="1">
      <c r="A2285" s="45" t="inlineStr">
        <is>
          <t>Modality</t>
        </is>
      </c>
      <c r="B2285" s="12" t="inlineStr">
        <is>
          <t>—</t>
        </is>
      </c>
      <c r="E2285" s="45" t="inlineStr">
        <is>
          <t>Interface</t>
        </is>
      </c>
      <c r="F2285" s="12" t="inlineStr">
        <is>
          <t>I2C / SPI</t>
        </is>
      </c>
    </row>
    <row r="2286" outlineLevel="1" ht="15" customHeight="1">
      <c r="A2286" s="45" t="inlineStr">
        <is>
          <t>Supply</t>
        </is>
      </c>
      <c r="B2286" s="12" t="inlineStr">
        <is>
          <t>2.7-3.6V</t>
        </is>
      </c>
      <c r="E2286" s="45" t="inlineStr">
        <is>
          <t>Price</t>
        </is>
      </c>
      <c r="F2286" s="12" t="inlineStr">
        <is>
          <t>$9  ($$)</t>
        </is>
      </c>
    </row>
    <row r="2287" outlineLevel="1" ht="15" customHeight="1">
      <c r="A2287" s="45" t="inlineStr">
        <is>
          <t>Difficulty</t>
        </is>
      </c>
      <c r="B2287" s="12" t="inlineStr">
        <is>
          <t>4 — Advanced — analog front-ends, protocol work, mechanical integration, or real safety</t>
        </is>
      </c>
    </row>
    <row r="2288" outlineLevel="1" ht="24" customHeight="1">
      <c r="A2288" s="45" t="inlineStr">
        <is>
          <t>HOW</t>
        </is>
      </c>
      <c r="B2288" s="46" t="inlineStr">
        <is>
          <t>Measures a PCB coil's resonant frequency, which shifts when metal approaches — micron-resolution metal detection through plastic, dirt and paint.</t>
        </is>
      </c>
    </row>
    <row r="2289" outlineLevel="1" ht="20" customHeight="1">
      <c r="A2289" s="45" t="inlineStr">
        <is>
          <t>COMMON</t>
        </is>
      </c>
      <c r="B2289" s="46" t="inlineStr">
        <is>
          <t>Touchless metal buttons through panels, coin/material discrimination, lathe/spindle runout, axle counters.</t>
        </is>
      </c>
    </row>
    <row r="2290" outlineLevel="1" ht="24" customHeight="1">
      <c r="A2290" s="45" t="inlineStr">
        <is>
          <t>INVENTION</t>
        </is>
      </c>
      <c r="B2290" s="48" t="inlineStr">
        <is>
          <t>Buttons with NO openings: inductive 'press' detection of a steel panel flexing microns — controls for boats/medical that cannot leak by construction.</t>
        </is>
      </c>
    </row>
    <row r="2291" outlineLevel="1" ht="15" customHeight="1">
      <c r="A2291" s="45" t="inlineStr">
        <is>
          <t>PAIRS</t>
        </is>
      </c>
      <c r="B2291" s="46" t="inlineStr">
        <is>
          <t>Spring-steel front panels, haptic confirm</t>
        </is>
      </c>
    </row>
    <row r="2292" outlineLevel="1" ht="15" customHeight="1">
      <c r="A2292" s="45" t="inlineStr">
        <is>
          <t>KEY</t>
        </is>
      </c>
      <c r="B2292" s="46" t="inlineStr">
        <is>
          <t>28-bit, sub-micron capable with good coils</t>
        </is>
      </c>
    </row>
    <row r="2293" outlineLevel="1" ht="16" customHeight="1">
      <c r="A2293" s="45" t="inlineStr">
        <is>
          <t>buy</t>
        </is>
      </c>
      <c r="B2293" s="49" t="inlineStr">
        <is>
          <t>DK · MO · AE   |   boards: LDC1612 modules + DIY spiral coils   |   lib: TI examples, community libs   [High]</t>
        </is>
      </c>
    </row>
    <row r="2295" ht="22" customHeight="1">
      <c r="A2295" s="54" t="inlineStr">
        <is>
          <t>S179</t>
        </is>
      </c>
      <c r="B2295" s="55" t="inlineStr">
        <is>
          <t>DFRobot Gravity mmWave presence radar   ·   DFRobot SEN0395 (24GHz) / SEN0623 (60GHz)</t>
        </is>
      </c>
    </row>
    <row r="2296" outlineLevel="1" ht="15" customHeight="1">
      <c r="A2296" s="45" t="inlineStr">
        <is>
          <t>Category</t>
        </is>
      </c>
      <c r="B2296" s="12" t="inlineStr">
        <is>
          <t>Presence &amp; Occupancy › mmWave radar</t>
        </is>
      </c>
      <c r="E2296" s="45" t="inlineStr">
        <is>
          <t>Measures</t>
        </is>
      </c>
      <c r="F2296" s="12" t="inlineStr">
        <is>
          <t>Presence, micro-motion, sleep states at distance</t>
        </is>
      </c>
    </row>
    <row r="2297" outlineLevel="1" ht="15" customHeight="1">
      <c r="A2297" s="45" t="inlineStr">
        <is>
          <t>Modality</t>
        </is>
      </c>
      <c r="B2297" s="12" t="inlineStr">
        <is>
          <t>—</t>
        </is>
      </c>
      <c r="E2297" s="45" t="inlineStr">
        <is>
          <t>Interface</t>
        </is>
      </c>
      <c r="F2297" s="12" t="inlineStr">
        <is>
          <t>UART</t>
        </is>
      </c>
    </row>
    <row r="2298" outlineLevel="1" ht="15" customHeight="1">
      <c r="A2298" s="45" t="inlineStr">
        <is>
          <t>Supply</t>
        </is>
      </c>
      <c r="B2298" s="12" t="inlineStr">
        <is>
          <t>3.3-5V</t>
        </is>
      </c>
      <c r="E2298" s="45" t="inlineStr">
        <is>
          <t>Price</t>
        </is>
      </c>
      <c r="F2298" s="12" t="inlineStr">
        <is>
          <t>$22  ($$$)</t>
        </is>
      </c>
    </row>
    <row r="2299" outlineLevel="1" ht="15" customHeight="1">
      <c r="A2299" s="45" t="inlineStr">
        <is>
          <t>Difficulty</t>
        </is>
      </c>
      <c r="B2299" s="12" t="inlineStr">
        <is>
          <t>3 — Some skill — calibration, level shifting, timing, or datasheet reading required</t>
        </is>
      </c>
    </row>
    <row r="2300" outlineLevel="1" ht="22" customHeight="1">
      <c r="A2300" s="45" t="inlineStr">
        <is>
          <t>HOW</t>
        </is>
      </c>
      <c r="B2300" s="46" t="inlineStr">
        <is>
          <t>FMCW radar with onboard processing classifying presence vs movement vs breathing patterns — configurable zones via AT commands.</t>
        </is>
      </c>
    </row>
    <row r="2301" outlineLevel="1" ht="18" customHeight="1">
      <c r="A2301" s="45" t="inlineStr">
        <is>
          <t>COMMON</t>
        </is>
      </c>
      <c r="B2301" s="46" t="inlineStr">
        <is>
          <t>Bedroom presence (no camera ever), bathroom occupancy with fall hints, kiosk wake.</t>
        </is>
      </c>
    </row>
    <row r="2302" outlineLevel="1" ht="22" customHeight="1">
      <c r="A2302" s="45" t="inlineStr">
        <is>
          <t>INVENTION</t>
        </is>
      </c>
      <c r="B2302" s="48" t="inlineStr">
        <is>
          <t>Hotel-grade 'room state' without cameras: occupied/asleep/away drives HVAC and housekeeping logic — privacy-clean hospitality tech.</t>
        </is>
      </c>
    </row>
    <row r="2303" outlineLevel="1" ht="15" customHeight="1">
      <c r="A2303" s="45" t="inlineStr">
        <is>
          <t>PAIRS</t>
        </is>
      </c>
      <c r="B2303" s="46" t="inlineStr">
        <is>
          <t>HVAC IR blaster, Home Assistant occupancy model</t>
        </is>
      </c>
    </row>
    <row r="2304" outlineLevel="1" ht="15" customHeight="1">
      <c r="A2304" s="45" t="inlineStr">
        <is>
          <t>KEY</t>
        </is>
      </c>
      <c r="B2304" s="46" t="inlineStr">
        <is>
          <t>9m presence, zone config, ceiling mount option</t>
        </is>
      </c>
    </row>
    <row r="2305" outlineLevel="1" ht="16" customHeight="1">
      <c r="A2305" s="45" t="inlineStr">
        <is>
          <t>buy</t>
        </is>
      </c>
      <c r="B2305" s="49" t="inlineStr">
        <is>
          <t>DFR · DK · MO   |   boards: DFRobot Gravity mmWave family   |   lib: DFRobot libs, ESPHome   [High]</t>
        </is>
      </c>
    </row>
    <row r="2307" ht="22" customHeight="1">
      <c r="A2307" s="54" t="inlineStr">
        <is>
          <t>S180</t>
        </is>
      </c>
      <c r="B2307" s="55" t="inlineStr">
        <is>
          <t>IR flame detector (flicker)   ·   KY-026 / 5-channel IR flame array</t>
        </is>
      </c>
    </row>
    <row r="2308" outlineLevel="1" ht="15" customHeight="1">
      <c r="A2308" s="45" t="inlineStr">
        <is>
          <t>Category</t>
        </is>
      </c>
      <c r="B2308" s="12" t="inlineStr">
        <is>
          <t>Light &amp; UV › Flame detection</t>
        </is>
      </c>
      <c r="E2308" s="45" t="inlineStr">
        <is>
          <t>Measures</t>
        </is>
      </c>
      <c r="F2308" s="12" t="inlineStr">
        <is>
          <t>Open-flame presence via near-IR flicker (~1-10Hz)</t>
        </is>
      </c>
    </row>
    <row r="2309" outlineLevel="1" ht="15" customHeight="1">
      <c r="A2309" s="45" t="inlineStr">
        <is>
          <t>Modality</t>
        </is>
      </c>
      <c r="B2309" s="12" t="inlineStr">
        <is>
          <t>—</t>
        </is>
      </c>
      <c r="E2309" s="45" t="inlineStr">
        <is>
          <t>Interface</t>
        </is>
      </c>
      <c r="F2309" s="12" t="inlineStr">
        <is>
          <t>Analog / Digital</t>
        </is>
      </c>
    </row>
    <row r="2310" outlineLevel="1" ht="15" customHeight="1">
      <c r="A2310" s="45" t="inlineStr">
        <is>
          <t>Supply</t>
        </is>
      </c>
      <c r="B2310" s="12" t="inlineStr">
        <is>
          <t>3.3-5V</t>
        </is>
      </c>
      <c r="E2310" s="45" t="inlineStr">
        <is>
          <t>Price</t>
        </is>
      </c>
      <c r="F2310" s="12" t="inlineStr">
        <is>
          <t>$2  ($)</t>
        </is>
      </c>
    </row>
    <row r="2311" outlineLevel="1" ht="15" customHeight="1">
      <c r="A2311" s="45" t="inlineStr">
        <is>
          <t>Difficulty</t>
        </is>
      </c>
      <c r="B2311" s="12" t="inlineStr">
        <is>
          <t>1 — Plug and play — Qwiic/STEMMA cable or 3 wires, library example works first time</t>
        </is>
      </c>
    </row>
    <row r="2312" outlineLevel="1" ht="38" customHeight="1">
      <c r="A2312" s="45" t="inlineStr">
        <is>
          <t>HOW</t>
        </is>
      </c>
      <c r="B2312" s="46" t="inlineStr">
        <is>
          <t>A near-IR phototransistor (roughly 760-1100nm) watching for the characteristic flicker of a flame — faster than waiting for smoke to reach a ceiling detector. NOTE: these cheap modules are IR-only and are blind to the UV that true UV flame detectors use; sunlight, incandescent bulbs and hot surfaces will fool them.</t>
        </is>
      </c>
    </row>
    <row r="2313" outlineLevel="1" ht="20" customHeight="1">
      <c r="A2313" s="45" t="inlineStr">
        <is>
          <t>COMMON</t>
        </is>
      </c>
      <c r="B2313" s="46" t="inlineStr">
        <is>
          <t>Robot firefighting contests, candle-left-burning alerts, workshop hot-work watchers, fireplace state.</t>
        </is>
      </c>
    </row>
    <row r="2314" outlineLevel="1" ht="24" customHeight="1">
      <c r="A2314" s="45" t="inlineStr">
        <is>
          <t>INVENTION</t>
        </is>
      </c>
      <c r="B2314" s="48" t="inlineStr">
        <is>
          <t>A 'hot work' buddy for makers: while you solder/weld/torch, it watches for flame where flame shouldn't be after you stop — the 30-minute cooldown guardian.</t>
        </is>
      </c>
    </row>
    <row r="2315" outlineLevel="1" ht="15" customHeight="1">
      <c r="A2315" s="45" t="inlineStr">
        <is>
          <t>PAIRS</t>
        </is>
      </c>
      <c r="B2315" s="46" t="inlineStr">
        <is>
          <t>Buzzer + camera snapshot + smart-plug cutoffs</t>
        </is>
      </c>
    </row>
    <row r="2316" outlineLevel="1" ht="15" customHeight="1">
      <c r="A2316" s="45" t="inlineStr">
        <is>
          <t>KEY</t>
        </is>
      </c>
      <c r="B2316" s="46" t="inlineStr">
        <is>
          <t>5-channel modules widen field of view</t>
        </is>
      </c>
    </row>
    <row r="2317" outlineLevel="1" ht="16" customHeight="1">
      <c r="A2317" s="45" t="inlineStr">
        <is>
          <t>buy</t>
        </is>
      </c>
      <c r="B2317" s="49" t="inlineStr">
        <is>
          <t>AE · AMZ · DFR   |   boards: KY-026, 5-way flame boards   |   lib: analogRead   [High]</t>
        </is>
      </c>
    </row>
    <row r="2319" ht="22" customHeight="1">
      <c r="A2319" s="54" t="inlineStr">
        <is>
          <t>S181</t>
        </is>
      </c>
      <c r="B2319" s="55" t="inlineStr">
        <is>
          <t>Time-of-flight gesture radar 60GHz   ·   Seeed MR60BHA2 sibling / Infineon BGT60</t>
        </is>
      </c>
    </row>
    <row r="2320" outlineLevel="1" ht="15" customHeight="1">
      <c r="A2320" s="45" t="inlineStr">
        <is>
          <t>Category</t>
        </is>
      </c>
      <c r="B2320" s="12" t="inlineStr">
        <is>
          <t>Presence &amp; Occupancy › Advanced radar</t>
        </is>
      </c>
      <c r="E2320" s="45" t="inlineStr">
        <is>
          <t>Measures</t>
        </is>
      </c>
      <c r="F2320" s="12" t="inlineStr">
        <is>
          <t>Micro-gestures (finger rubs, swipes) in air via radar</t>
        </is>
      </c>
    </row>
    <row r="2321" outlineLevel="1" ht="15" customHeight="1">
      <c r="A2321" s="45" t="inlineStr">
        <is>
          <t>Modality</t>
        </is>
      </c>
      <c r="B2321" s="12" t="inlineStr">
        <is>
          <t>—</t>
        </is>
      </c>
      <c r="E2321" s="45" t="inlineStr">
        <is>
          <t>Interface</t>
        </is>
      </c>
      <c r="F2321" s="12" t="inlineStr">
        <is>
          <t>SPI / UART</t>
        </is>
      </c>
    </row>
    <row r="2322" outlineLevel="1" ht="15" customHeight="1">
      <c r="A2322" s="45" t="inlineStr">
        <is>
          <t>Supply</t>
        </is>
      </c>
      <c r="B2322" s="12" t="inlineStr">
        <is>
          <t>3.3-5V</t>
        </is>
      </c>
      <c r="E2322" s="45" t="inlineStr">
        <is>
          <t>Price</t>
        </is>
      </c>
      <c r="F2322" s="12" t="inlineStr">
        <is>
          <t>$110  ($$$$)</t>
        </is>
      </c>
    </row>
    <row r="2323" outlineLevel="1" ht="15" customHeight="1">
      <c r="A2323" s="45" t="inlineStr">
        <is>
          <t>Difficulty</t>
        </is>
      </c>
      <c r="B2323" s="12" t="inlineStr">
        <is>
          <t>5 — Expert — you are doing research; expect to write drivers and validate your own results</t>
        </is>
      </c>
    </row>
    <row r="2324" outlineLevel="1" ht="22" customHeight="1">
      <c r="A2324" s="45" t="inlineStr">
        <is>
          <t>HOW</t>
        </is>
      </c>
      <c r="B2324" s="46" t="inlineStr">
        <is>
          <t>60GHz radar resolves millimetre finger motion — Google's Soli concept: invisible controls that work through fabric and in darkness.</t>
        </is>
      </c>
    </row>
    <row r="2325" outlineLevel="1" ht="18" customHeight="1">
      <c r="A2325" s="45" t="inlineStr">
        <is>
          <t>COMMON</t>
        </is>
      </c>
      <c r="B2325" s="46" t="inlineStr">
        <is>
          <t>Through-pocket controls, sterile-environment interfaces, automotive cabin gestures.</t>
        </is>
      </c>
    </row>
    <row r="2326" outlineLevel="1" ht="23" customHeight="1">
      <c r="A2326" s="45" t="inlineStr">
        <is>
          <t>INVENTION</t>
        </is>
      </c>
      <c r="B2326" s="48" t="inlineStr">
        <is>
          <t>A bedside lamp you control by rubbing thumb-to-finger in the dark, hand still under the duvet. Magic-feeling UX, genuinely buildable.</t>
        </is>
      </c>
    </row>
    <row r="2327" outlineLevel="1" ht="15" customHeight="1">
      <c r="A2327" s="45" t="inlineStr">
        <is>
          <t>PAIRS</t>
        </is>
      </c>
      <c r="B2327" s="46" t="inlineStr">
        <is>
          <t>TinyML gesture classifier, dimmable LED driver</t>
        </is>
      </c>
    </row>
    <row r="2328" outlineLevel="1" ht="15" customHeight="1">
      <c r="A2328" s="45" t="inlineStr">
        <is>
          <t>KEY</t>
        </is>
      </c>
      <c r="B2328" s="46" t="inlineStr">
        <is>
          <t>BGT60TR13C dev ecosystem, ML required</t>
        </is>
      </c>
    </row>
    <row r="2329" outlineLevel="1" ht="16" customHeight="1">
      <c r="A2329" s="45" t="inlineStr">
        <is>
          <t>buy</t>
        </is>
      </c>
      <c r="B2329" s="49" t="inlineStr">
        <is>
          <t>DK · MO · SS   |   boards: Infineon BGT60 shields, Seeed 60GHz kits   |   lib: Infineon SDK + TinyML   [High]</t>
        </is>
      </c>
    </row>
    <row r="2331" ht="22" customHeight="1">
      <c r="A2331" s="54" t="inlineStr">
        <is>
          <t>S182</t>
        </is>
      </c>
      <c r="B2331" s="55" t="inlineStr">
        <is>
          <t>Scale-hacking: NAU7802   ·   NAU7802</t>
        </is>
      </c>
    </row>
    <row r="2332" outlineLevel="1" ht="15" customHeight="1">
      <c r="A2332" s="45" t="inlineStr">
        <is>
          <t>Category</t>
        </is>
      </c>
      <c r="B2332" s="12" t="inlineStr">
        <is>
          <t>Force &amp; Weight › Precision ADC</t>
        </is>
      </c>
      <c r="E2332" s="45" t="inlineStr">
        <is>
          <t>Measures</t>
        </is>
      </c>
      <c r="F2332" s="12" t="inlineStr">
        <is>
          <t>24-bit bridge ADC — the I2C upgrade to HX711</t>
        </is>
      </c>
    </row>
    <row r="2333" outlineLevel="1" ht="15" customHeight="1">
      <c r="A2333" s="45" t="inlineStr">
        <is>
          <t>Modality</t>
        </is>
      </c>
      <c r="B2333" s="12" t="inlineStr">
        <is>
          <t>—</t>
        </is>
      </c>
      <c r="E2333" s="45" t="inlineStr">
        <is>
          <t>Interface</t>
        </is>
      </c>
      <c r="F2333" s="12" t="inlineStr">
        <is>
          <t>I2C</t>
        </is>
      </c>
    </row>
    <row r="2334" outlineLevel="1" ht="15" customHeight="1">
      <c r="A2334" s="45" t="inlineStr">
        <is>
          <t>Supply</t>
        </is>
      </c>
      <c r="B2334" s="12" t="inlineStr">
        <is>
          <t>2.7-5.5V</t>
        </is>
      </c>
      <c r="E2334" s="45" t="inlineStr">
        <is>
          <t>Price</t>
        </is>
      </c>
      <c r="F2334" s="12" t="inlineStr">
        <is>
          <t>$12  ($$)</t>
        </is>
      </c>
    </row>
    <row r="2335" outlineLevel="1" ht="15" customHeight="1">
      <c r="A2335" s="45" t="inlineStr">
        <is>
          <t>Difficulty</t>
        </is>
      </c>
      <c r="B2335" s="12" t="inlineStr">
        <is>
          <t>2 — Easy — breadboard wiring, a well-documented library, no analog thought needed</t>
        </is>
      </c>
    </row>
    <row r="2336" outlineLevel="1" ht="23" customHeight="1">
      <c r="A2336" s="45" t="inlineStr">
        <is>
          <t>HOW</t>
        </is>
      </c>
      <c r="B2336" s="46" t="inlineStr">
        <is>
          <t>A quieter, I2C-native 24-bit ADC for load cells and bridges — chains with everything else on the same two wires, unlike HX711's bit-bang.</t>
        </is>
      </c>
    </row>
    <row r="2337" outlineLevel="1" ht="16" customHeight="1">
      <c r="A2337" s="45" t="inlineStr">
        <is>
          <t>COMMON</t>
        </is>
      </c>
      <c r="B2337" s="46" t="inlineStr">
        <is>
          <t>Multi-scale projects on one bus, strain rigs, force plates.</t>
        </is>
      </c>
    </row>
    <row r="2338" outlineLevel="1" ht="24" customHeight="1">
      <c r="A2338" s="45" t="inlineStr">
        <is>
          <t>INVENTION</t>
        </is>
      </c>
      <c r="B2338" s="48" t="inlineStr">
        <is>
          <t>A force-plate jump analyser: 4 load cells + NAU7802 at 320Hz reads jump height, contact time, and left/right asymmetry — sports science under $40.</t>
        </is>
      </c>
    </row>
    <row r="2339" outlineLevel="1" ht="15" customHeight="1">
      <c r="A2339" s="45" t="inlineStr">
        <is>
          <t>PAIRS</t>
        </is>
      </c>
      <c r="B2339" s="46" t="inlineStr">
        <is>
          <t>TFT instant feedback, athlete BLE profiles</t>
        </is>
      </c>
    </row>
    <row r="2340" outlineLevel="1" ht="15" customHeight="1">
      <c r="A2340" s="45" t="inlineStr">
        <is>
          <t>KEY</t>
        </is>
      </c>
      <c r="B2340" s="46" t="inlineStr">
        <is>
          <t>24-bit, 320SPS, internal PGA x128</t>
        </is>
      </c>
    </row>
    <row r="2341" outlineLevel="1" ht="16" customHeight="1">
      <c r="A2341" s="45" t="inlineStr">
        <is>
          <t>buy</t>
        </is>
      </c>
      <c r="B2341" s="49" t="inlineStr">
        <is>
          <t>SF · AF · DK   |   boards: SparkFun Qwiic Scale   |   lib: SparkFun NAU7802   [High]</t>
        </is>
      </c>
    </row>
    <row r="2343" ht="22" customHeight="1">
      <c r="A2343" s="54" t="inlineStr">
        <is>
          <t>S183</t>
        </is>
      </c>
      <c r="B2343" s="55" t="inlineStr">
        <is>
          <t>Thermal flow: SDP + thermistor DIY   ·   Mass-flow DIY rigs</t>
        </is>
      </c>
    </row>
    <row r="2344" outlineLevel="1" ht="15" customHeight="1">
      <c r="A2344" s="45" t="inlineStr">
        <is>
          <t>Category</t>
        </is>
      </c>
      <c r="B2344" s="12" t="inlineStr">
        <is>
          <t>Frontier Sensing › Mass flow</t>
        </is>
      </c>
      <c r="E2344" s="45" t="inlineStr">
        <is>
          <t>Measures</t>
        </is>
      </c>
      <c r="F2344" s="12" t="inlineStr">
        <is>
          <t>Gas mass-flow (breath, brew airlocks, vents)</t>
        </is>
      </c>
    </row>
    <row r="2345" outlineLevel="1" ht="15" customHeight="1">
      <c r="A2345" s="45" t="inlineStr">
        <is>
          <t>Modality</t>
        </is>
      </c>
      <c r="B2345" s="12" t="inlineStr">
        <is>
          <t>—</t>
        </is>
      </c>
      <c r="E2345" s="45" t="inlineStr">
        <is>
          <t>Interface</t>
        </is>
      </c>
      <c r="F2345" s="12" t="inlineStr">
        <is>
          <t>I2C</t>
        </is>
      </c>
    </row>
    <row r="2346" outlineLevel="1" ht="15" customHeight="1">
      <c r="A2346" s="45" t="inlineStr">
        <is>
          <t>Supply</t>
        </is>
      </c>
      <c r="B2346" s="12" t="inlineStr">
        <is>
          <t>3.3V</t>
        </is>
      </c>
      <c r="E2346" s="45" t="inlineStr">
        <is>
          <t>Price</t>
        </is>
      </c>
      <c r="F2346" s="12" t="inlineStr">
        <is>
          <t>$40  ($$$)</t>
        </is>
      </c>
    </row>
    <row r="2347" outlineLevel="1" ht="15" customHeight="1">
      <c r="A2347" s="45" t="inlineStr">
        <is>
          <t>Difficulty</t>
        </is>
      </c>
      <c r="B2347" s="12" t="inlineStr">
        <is>
          <t>5 — Expert — you are doing research; expect to write drivers and validate your own results</t>
        </is>
      </c>
    </row>
    <row r="2348" outlineLevel="1" ht="25" customHeight="1">
      <c r="A2348" s="45" t="inlineStr">
        <is>
          <t>HOW</t>
        </is>
      </c>
      <c r="B2348" s="46" t="inlineStr">
        <is>
          <t>Combine a differential-pressure sensor across an orifice (or thermal anemometry) to compute actual mass flow — respiratory and process measurement from parts.</t>
        </is>
      </c>
    </row>
    <row r="2349" outlineLevel="1" ht="19" customHeight="1">
      <c r="A2349" s="45" t="inlineStr">
        <is>
          <t>COMMON</t>
        </is>
      </c>
      <c r="B2349" s="46" t="inlineStr">
        <is>
          <t>Spirometry experiments, fermentation CO2 output (yeast vitality), pneumatic system QA.</t>
        </is>
      </c>
    </row>
    <row r="2350" outlineLevel="1" ht="23" customHeight="1">
      <c r="A2350" s="45" t="inlineStr">
        <is>
          <t>INVENTION</t>
        </is>
      </c>
      <c r="B2350" s="48" t="inlineStr">
        <is>
          <t>A brewing 'fermentation heartbeat' monitor: CO2 mass-flow from the airlock charts yeast health in real time — stalls visible hours early.</t>
        </is>
      </c>
    </row>
    <row r="2351" outlineLevel="1" ht="15" customHeight="1">
      <c r="A2351" s="45" t="inlineStr">
        <is>
          <t>PAIRS</t>
        </is>
      </c>
      <c r="B2351" s="46" t="inlineStr">
        <is>
          <t>MPRLS + temp for gas-law corrections</t>
        </is>
      </c>
    </row>
    <row r="2352" outlineLevel="1" ht="15" customHeight="1">
      <c r="A2352" s="45" t="inlineStr">
        <is>
          <t>KEY</t>
        </is>
      </c>
      <c r="B2352" s="46" t="inlineStr">
        <is>
          <t>DIY calibration against known volumes</t>
        </is>
      </c>
    </row>
    <row r="2353" outlineLevel="1" ht="16" customHeight="1">
      <c r="A2353" s="45" t="inlineStr">
        <is>
          <t>buy</t>
        </is>
      </c>
      <c r="B2353" s="49" t="inlineStr">
        <is>
          <t>DK · MO   |   boards: SDP810 + orifice plate 3D-printed   |   lib: Custom math   [High]</t>
        </is>
      </c>
    </row>
    <row r="2355" ht="22" customHeight="1">
      <c r="A2355" s="54" t="inlineStr">
        <is>
          <t>S184</t>
        </is>
      </c>
      <c r="B2355" s="55" t="inlineStr">
        <is>
          <t>MQ-8 hydrogen sensor   ·   MQ-8 (heated SnO2) / DFRobot SEN0570 (MEMS)</t>
        </is>
      </c>
    </row>
    <row r="2356" outlineLevel="1" ht="15" customHeight="1">
      <c r="A2356" s="45" t="inlineStr">
        <is>
          <t>Category</t>
        </is>
      </c>
      <c r="B2356" s="12" t="inlineStr">
        <is>
          <t>Gas &amp; VOC › MQ analog (heated)</t>
        </is>
      </c>
      <c r="E2356" s="45" t="inlineStr">
        <is>
          <t>Measures</t>
        </is>
      </c>
      <c r="F2356" s="12" t="inlineStr">
        <is>
          <t>Hydrogen gas 100-10000ppm (qualitative)</t>
        </is>
      </c>
    </row>
    <row r="2357" outlineLevel="1" ht="15" customHeight="1">
      <c r="A2357" s="45" t="inlineStr">
        <is>
          <t>Modality</t>
        </is>
      </c>
      <c r="B2357" s="12" t="inlineStr">
        <is>
          <t>—</t>
        </is>
      </c>
      <c r="E2357" s="45" t="inlineStr">
        <is>
          <t>Interface</t>
        </is>
      </c>
      <c r="F2357" s="12" t="inlineStr">
        <is>
          <t>Analog</t>
        </is>
      </c>
    </row>
    <row r="2358" outlineLevel="1" ht="15" customHeight="1">
      <c r="A2358" s="45" t="inlineStr">
        <is>
          <t>Supply</t>
        </is>
      </c>
      <c r="B2358" s="12" t="inlineStr">
        <is>
          <t>5V</t>
        </is>
      </c>
      <c r="E2358" s="45" t="inlineStr">
        <is>
          <t>Price</t>
        </is>
      </c>
      <c r="F2358" s="12" t="inlineStr">
        <is>
          <t>$4  ($)</t>
        </is>
      </c>
    </row>
    <row r="2359" outlineLevel="1" ht="15" customHeight="1">
      <c r="A2359" s="45" t="inlineStr">
        <is>
          <t>Difficulty</t>
        </is>
      </c>
      <c r="B2359" s="12" t="inlineStr">
        <is>
          <t>2 — Easy — breadboard wiring, a well-documented library, no analog thought needed</t>
        </is>
      </c>
    </row>
    <row r="2360" outlineLevel="1" ht="29" customHeight="1">
      <c r="A2360" s="45" t="inlineStr">
        <is>
          <t>HOW</t>
        </is>
      </c>
      <c r="B2360" s="46" t="inlineStr">
        <is>
          <t>A tin-oxide bead heated to ~300°C whose resistance drops in hydrogen. It is NOT MEMS and NOT selective — it responds strongly to alcohol and CO too, so treat it as a trend instrument, never as an identification.</t>
        </is>
      </c>
    </row>
    <row r="2361" outlineLevel="1" ht="27" customHeight="1">
      <c r="A2361" s="45" t="inlineStr">
        <is>
          <t>COMMON</t>
        </is>
      </c>
      <c r="B2361" s="46" t="inlineStr">
        <is>
          <t>Electrolysis demonstrations and hydrogen experiments in OPEN, well-ventilated benches. NOT for deployment inside a battery room, gas locker or any space where hydrogen can accumulate.</t>
        </is>
      </c>
    </row>
    <row r="2362" outlineLevel="1" ht="35" customHeight="1">
      <c r="A2362" s="45" t="inlineStr">
        <is>
          <t>INVENTION</t>
        </is>
      </c>
      <c r="B2362" s="48" t="inlineStr">
        <is>
          <t>The instructive build is a ventilated test bench that shows how fast H2 accumulates above a charging lead-acid cell — the data is the point. For an actual battery room you need a certified, intrinsically-safe H2 detector: an MQ bead runs at ~300°C and is itself an ignition source.</t>
        </is>
      </c>
    </row>
    <row r="2363" outlineLevel="1" ht="15" customHeight="1">
      <c r="A2363" s="45" t="inlineStr">
        <is>
          <t>PAIRS</t>
        </is>
      </c>
      <c r="B2363" s="46" t="inlineStr">
        <is>
          <t>Vent fan relay, INA226 charge correlation</t>
        </is>
      </c>
    </row>
    <row r="2364" outlineLevel="1" ht="15" customHeight="1">
      <c r="A2364" s="45" t="inlineStr">
        <is>
          <t>KEY</t>
        </is>
      </c>
      <c r="B2364" s="46" t="inlineStr">
        <is>
          <t>MQ-8 classic; MEMS versions emerging</t>
        </is>
      </c>
    </row>
    <row r="2365" outlineLevel="1" ht="16" customHeight="1">
      <c r="A2365" s="45" t="inlineStr">
        <is>
          <t>buy</t>
        </is>
      </c>
      <c r="B2365" s="49" t="inlineStr">
        <is>
          <t>AE · DFR · DK   |   boards: MQ-8 module   |   lib: MQUnifiedsensor   [High]</t>
        </is>
      </c>
    </row>
    <row r="2367" ht="22" customHeight="1">
      <c r="A2367" s="54" t="inlineStr">
        <is>
          <t>S185</t>
        </is>
      </c>
      <c r="B2367" s="55" t="inlineStr">
        <is>
          <t>Weight-in-motion: piezo cable   ·   Piezo coax / floor strips</t>
        </is>
      </c>
    </row>
    <row r="2368" outlineLevel="1" ht="15" customHeight="1">
      <c r="A2368" s="45" t="inlineStr">
        <is>
          <t>Category</t>
        </is>
      </c>
      <c r="B2368" s="12" t="inlineStr">
        <is>
          <t>Motion &amp; Vibration › Traffic/footfall</t>
        </is>
      </c>
      <c r="E2368" s="45" t="inlineStr">
        <is>
          <t>Measures</t>
        </is>
      </c>
      <c r="F2368" s="12" t="inlineStr">
        <is>
          <t>Vehicles/people crossing a line (speed + count)</t>
        </is>
      </c>
    </row>
    <row r="2369" outlineLevel="1" ht="15" customHeight="1">
      <c r="A2369" s="45" t="inlineStr">
        <is>
          <t>Modality</t>
        </is>
      </c>
      <c r="B2369" s="12" t="inlineStr">
        <is>
          <t>—</t>
        </is>
      </c>
      <c r="E2369" s="45" t="inlineStr">
        <is>
          <t>Interface</t>
        </is>
      </c>
      <c r="F2369" s="12" t="inlineStr">
        <is>
          <t>Analog</t>
        </is>
      </c>
    </row>
    <row r="2370" outlineLevel="1" ht="15" customHeight="1">
      <c r="A2370" s="45" t="inlineStr">
        <is>
          <t>Supply</t>
        </is>
      </c>
      <c r="B2370" s="12" t="inlineStr">
        <is>
          <t>passive</t>
        </is>
      </c>
      <c r="E2370" s="45" t="inlineStr">
        <is>
          <t>Price</t>
        </is>
      </c>
      <c r="F2370" s="12" t="inlineStr">
        <is>
          <t>$15  ($$$)</t>
        </is>
      </c>
    </row>
    <row r="2371" outlineLevel="1" ht="15" customHeight="1">
      <c r="A2371" s="45" t="inlineStr">
        <is>
          <t>Difficulty</t>
        </is>
      </c>
      <c r="B2371" s="12" t="inlineStr">
        <is>
          <t>4 — Advanced — analog front-ends, protocol work, mechanical integration, or real safety</t>
        </is>
      </c>
    </row>
    <row r="2372" outlineLevel="1" ht="24" customHeight="1">
      <c r="A2372" s="45" t="inlineStr">
        <is>
          <t>HOW</t>
        </is>
      </c>
      <c r="B2372" s="46" t="inlineStr">
        <is>
          <t>A piezoelectric cable under a mat or speed-bump strip generates pulses proportional to crossing pressure — axle counting and footfall without cameras.</t>
        </is>
      </c>
    </row>
    <row r="2373" outlineLevel="1" ht="19" customHeight="1">
      <c r="A2373" s="45" t="inlineStr">
        <is>
          <t>COMMON</t>
        </is>
      </c>
      <c r="B2373" s="46" t="inlineStr">
        <is>
          <t>Driveway vehicle counting, queue analytics, wildlife trail crossings, race timing strips.</t>
        </is>
      </c>
    </row>
    <row r="2374" outlineLevel="1" ht="23" customHeight="1">
      <c r="A2374" s="45" t="inlineStr">
        <is>
          <t>INVENTION</t>
        </is>
      </c>
      <c r="B2374" s="48" t="inlineStr">
        <is>
          <t>Two strips 1m apart = speed trap: log (anonymously) how fast cars really take your street — the dataset that gets speed bumps approved.</t>
        </is>
      </c>
    </row>
    <row r="2375" outlineLevel="1" ht="15" customHeight="1">
      <c r="A2375" s="45" t="inlineStr">
        <is>
          <t>PAIRS</t>
        </is>
      </c>
      <c r="B2375" s="46" t="inlineStr">
        <is>
          <t>GPS time sync, LoRa to dashboard, solar</t>
        </is>
      </c>
    </row>
    <row r="2376" outlineLevel="1" ht="15" customHeight="1">
      <c r="A2376" s="45" t="inlineStr">
        <is>
          <t>KEY</t>
        </is>
      </c>
      <c r="B2376" s="46" t="inlineStr">
        <is>
          <t>DIY charge amplifier needed</t>
        </is>
      </c>
    </row>
    <row r="2377" outlineLevel="1" ht="16" customHeight="1">
      <c r="A2377" s="45" t="inlineStr">
        <is>
          <t>buy</t>
        </is>
      </c>
      <c r="B2377" s="49" t="inlineStr">
        <is>
          <t>AE · DK   |   boards: Piezo cable + opamp charge amp   |   lib: Custom peak detection   [High]</t>
        </is>
      </c>
    </row>
    <row r="2379" ht="22" customHeight="1">
      <c r="A2379" s="54" t="inlineStr">
        <is>
          <t>S186</t>
        </is>
      </c>
      <c r="B2379" s="55" t="inlineStr">
        <is>
          <t>Watermark granular-matrix soil water sensor   ·   Watermark 200SS + adapter</t>
        </is>
      </c>
    </row>
    <row r="2380" outlineLevel="1" ht="15" customHeight="1">
      <c r="A2380" s="45" t="inlineStr">
        <is>
          <t>Category</t>
        </is>
      </c>
      <c r="B2380" s="12" t="inlineStr">
        <is>
          <t>Soil &amp; Agriculture › Plant-available water</t>
        </is>
      </c>
      <c r="E2380" s="45" t="inlineStr">
        <is>
          <t>Measures</t>
        </is>
      </c>
      <c r="F2380" s="12" t="inlineStr">
        <is>
          <t>Soil water tension / matric potential (what roots actually feel), 0-239 kPa</t>
        </is>
      </c>
    </row>
    <row r="2381" outlineLevel="1" ht="15" customHeight="1">
      <c r="A2381" s="45" t="inlineStr">
        <is>
          <t>Modality</t>
        </is>
      </c>
      <c r="B2381" s="12" t="inlineStr">
        <is>
          <t>—</t>
        </is>
      </c>
      <c r="E2381" s="45" t="inlineStr">
        <is>
          <t>Interface</t>
        </is>
      </c>
      <c r="F2381" s="12" t="inlineStr">
        <is>
          <t>Analog</t>
        </is>
      </c>
    </row>
    <row r="2382" outlineLevel="1" ht="15" customHeight="1">
      <c r="A2382" s="45" t="inlineStr">
        <is>
          <t>Supply</t>
        </is>
      </c>
      <c r="B2382" s="12" t="inlineStr">
        <is>
          <t>3.3V AC-driven</t>
        </is>
      </c>
      <c r="E2382" s="45" t="inlineStr">
        <is>
          <t>Price</t>
        </is>
      </c>
      <c r="F2382" s="12" t="inlineStr">
        <is>
          <t>$45  ($$$)</t>
        </is>
      </c>
    </row>
    <row r="2383" outlineLevel="1" ht="15" customHeight="1">
      <c r="A2383" s="45" t="inlineStr">
        <is>
          <t>Difficulty</t>
        </is>
      </c>
      <c r="B2383" s="12" t="inlineStr">
        <is>
          <t>4 — Advanced — analog front-ends, protocol work, mechanical integration, or real safety</t>
        </is>
      </c>
    </row>
    <row r="2384" outlineLevel="1" ht="42" customHeight="1">
      <c r="A2384" s="45" t="inlineStr">
        <is>
          <t>HOW</t>
        </is>
      </c>
      <c r="B2384" s="46" t="inlineStr">
        <is>
          <t>A gypsum-buffered granular matrix inside a porous shell equilibrates with the soil; its electrical resistance tracks soil suction. Strictly it is a granular-matrix resistance sensor, not a tensiometer (a true tensiometer is a water-filled tube with a pressure transducer — see the MPRLS entry), but it reports the same quantity irrigation professionals schedule on.</t>
        </is>
      </c>
    </row>
    <row r="2385" outlineLevel="1" ht="18" customHeight="1">
      <c r="A2385" s="45" t="inlineStr">
        <is>
          <t>COMMON</t>
        </is>
      </c>
      <c r="B2385" s="46" t="inlineStr">
        <is>
          <t>Orchard/vineyard irrigation, lawn science, research-grade garden automation.</t>
        </is>
      </c>
    </row>
    <row r="2386" outlineLevel="1" ht="23" customHeight="1">
      <c r="A2386" s="45" t="inlineStr">
        <is>
          <t>INVENTION</t>
        </is>
      </c>
      <c r="B2386" s="48" t="inlineStr">
        <is>
          <t>Irrigate by plant stress, not soil guesswork: vines intentionally stressed pre-harvest make better wine — now automatable in your backyard.</t>
        </is>
      </c>
    </row>
    <row r="2387" outlineLevel="1" ht="16" customHeight="1">
      <c r="A2387" s="45" t="inlineStr">
        <is>
          <t>PAIRS</t>
        </is>
      </c>
      <c r="B2387" s="46" t="inlineStr">
        <is>
          <t>Capacitive sensor for cross-reference, valve control</t>
        </is>
      </c>
    </row>
    <row r="2388" outlineLevel="1" ht="16" customHeight="1">
      <c r="A2388" s="45" t="inlineStr">
        <is>
          <t>KEY</t>
        </is>
      </c>
      <c r="B2388" s="46" t="inlineStr">
        <is>
          <t>0-239 kPa (cbar), needs AC excitation to avoid electrolysis</t>
        </is>
      </c>
    </row>
    <row r="2389" outlineLevel="1" ht="16" customHeight="1">
      <c r="A2389" s="45" t="inlineStr">
        <is>
          <t>buy</t>
        </is>
      </c>
      <c r="B2389" s="49" t="inlineStr">
        <is>
          <t>IRR · DK   |   boards: Watermark sensors + DIY H-bridge excitation   |   lib: Community Watermark code   [High]</t>
        </is>
      </c>
    </row>
    <row r="2391" ht="22" customHeight="1">
      <c r="A2391" s="54" t="inlineStr">
        <is>
          <t>S187</t>
        </is>
      </c>
      <c r="B2391" s="55" t="inlineStr">
        <is>
          <t>Muon detector (CosmicWatch)   ·   CosmicWatch DIY</t>
        </is>
      </c>
    </row>
    <row r="2392" outlineLevel="1" ht="15" customHeight="1">
      <c r="A2392" s="45" t="inlineStr">
        <is>
          <t>Category</t>
        </is>
      </c>
      <c r="B2392" s="12" t="inlineStr">
        <is>
          <t>Radiation &amp; Nuclear › Cosmic rays</t>
        </is>
      </c>
      <c r="E2392" s="45" t="inlineStr">
        <is>
          <t>Measures</t>
        </is>
      </c>
      <c r="F2392" s="12" t="inlineStr">
        <is>
          <t>Cosmic-ray muons passing through a scintillator</t>
        </is>
      </c>
    </row>
    <row r="2393" outlineLevel="1" ht="15" customHeight="1">
      <c r="A2393" s="45" t="inlineStr">
        <is>
          <t>Modality</t>
        </is>
      </c>
      <c r="B2393" s="12" t="inlineStr">
        <is>
          <t>—</t>
        </is>
      </c>
      <c r="E2393" s="45" t="inlineStr">
        <is>
          <t>Interface</t>
        </is>
      </c>
      <c r="F2393" s="12" t="inlineStr">
        <is>
          <t>Pulse / Analog</t>
        </is>
      </c>
    </row>
    <row r="2394" outlineLevel="1" ht="15" customHeight="1">
      <c r="A2394" s="45" t="inlineStr">
        <is>
          <t>Supply</t>
        </is>
      </c>
      <c r="B2394" s="12" t="inlineStr">
        <is>
          <t>5V</t>
        </is>
      </c>
      <c r="E2394" s="45" t="inlineStr">
        <is>
          <t>Price</t>
        </is>
      </c>
      <c r="F2394" s="12" t="inlineStr">
        <is>
          <t>$100  ($$$$)</t>
        </is>
      </c>
    </row>
    <row r="2395" outlineLevel="1" ht="15" customHeight="1">
      <c r="A2395" s="45" t="inlineStr">
        <is>
          <t>Difficulty</t>
        </is>
      </c>
      <c r="B2395" s="12" t="inlineStr">
        <is>
          <t>5 — Expert — you are doing research; expect to write drivers and validate your own results</t>
        </is>
      </c>
    </row>
    <row r="2396" outlineLevel="1" ht="25" customHeight="1">
      <c r="A2396" s="45" t="inlineStr">
        <is>
          <t>HOW</t>
        </is>
      </c>
      <c r="B2396" s="46" t="inlineStr">
        <is>
          <t>A plastic scintillator flashes faintly when a muon (born in the upper atmosphere) passes; a silicon photomultiplier catches the flash — particle physics on your desk.</t>
        </is>
      </c>
    </row>
    <row r="2397" outlineLevel="1" ht="20" customHeight="1">
      <c r="A2397" s="45" t="inlineStr">
        <is>
          <t>COMMON</t>
        </is>
      </c>
      <c r="B2397" s="46" t="inlineStr">
        <is>
          <t>Physics education, muon tomography experiments, altitude/cosmic flux studies, true random numbers.</t>
        </is>
      </c>
    </row>
    <row r="2398" outlineLevel="1" ht="24" customHeight="1">
      <c r="A2398" s="45" t="inlineStr">
        <is>
          <t>INVENTION</t>
        </is>
      </c>
      <c r="B2398" s="48" t="inlineStr">
        <is>
          <t>Two stacked detectors in coincidence = direction. Take it on a flight and watch cosmic flux climb 30x at altitude. Physics street cred: maximum.</t>
        </is>
      </c>
    </row>
    <row r="2399" outlineLevel="1" ht="15" customHeight="1">
      <c r="A2399" s="45" t="inlineStr">
        <is>
          <t>PAIRS</t>
        </is>
      </c>
      <c r="B2399" s="46" t="inlineStr">
        <is>
          <t>GPS altitude correlation, SD flight logs</t>
        </is>
      </c>
    </row>
    <row r="2400" outlineLevel="1" ht="15" customHeight="1">
      <c r="A2400" s="45" t="inlineStr">
        <is>
          <t>KEY</t>
        </is>
      </c>
      <c r="B2400" s="46" t="inlineStr">
        <is>
          <t>~1 muon/cm²/min at sea level; MIT open design</t>
        </is>
      </c>
    </row>
    <row r="2401" outlineLevel="1" ht="16" customHeight="1">
      <c r="A2401" s="45" t="inlineStr">
        <is>
          <t>buy</t>
        </is>
      </c>
      <c r="B2401" s="49" t="inlineStr">
        <is>
          <t>DIY · AE   |   boards: CosmicWatch BOM (SiPM + scintillator)   |   lib: Pulse counting + coincidence logic   [High]</t>
        </is>
      </c>
    </row>
    <row r="2403" ht="22" customHeight="1">
      <c r="A2403" s="54" t="inlineStr">
        <is>
          <t>S188</t>
        </is>
      </c>
      <c r="B2403" s="55" t="inlineStr">
        <is>
          <t>Scintillating gamma spectrometer   ·   CsI(Tl) + SiPM kits</t>
        </is>
      </c>
    </row>
    <row r="2404" outlineLevel="1" ht="15" customHeight="1">
      <c r="A2404" s="45" t="inlineStr">
        <is>
          <t>Category</t>
        </is>
      </c>
      <c r="B2404" s="12" t="inlineStr">
        <is>
          <t>Radiation &amp; Nuclear › Gamma spectroscopy</t>
        </is>
      </c>
      <c r="E2404" s="45" t="inlineStr">
        <is>
          <t>Measures</t>
        </is>
      </c>
      <c r="F2404" s="12" t="inlineStr">
        <is>
          <t>WHICH radioactive isotope (energy spectrum, not just counts)</t>
        </is>
      </c>
    </row>
    <row r="2405" outlineLevel="1" ht="15" customHeight="1">
      <c r="A2405" s="45" t="inlineStr">
        <is>
          <t>Modality</t>
        </is>
      </c>
      <c r="B2405" s="12" t="inlineStr">
        <is>
          <t>—</t>
        </is>
      </c>
      <c r="E2405" s="45" t="inlineStr">
        <is>
          <t>Interface</t>
        </is>
      </c>
      <c r="F2405" s="12" t="inlineStr">
        <is>
          <t>Analog</t>
        </is>
      </c>
    </row>
    <row r="2406" outlineLevel="1" ht="15" customHeight="1">
      <c r="A2406" s="45" t="inlineStr">
        <is>
          <t>Supply</t>
        </is>
      </c>
      <c r="B2406" s="12" t="inlineStr">
        <is>
          <t>5V</t>
        </is>
      </c>
      <c r="E2406" s="45" t="inlineStr">
        <is>
          <t>Price</t>
        </is>
      </c>
      <c r="F2406" s="12" t="inlineStr">
        <is>
          <t>$150  ($$$$)</t>
        </is>
      </c>
    </row>
    <row r="2407" outlineLevel="1" ht="15" customHeight="1">
      <c r="A2407" s="45" t="inlineStr">
        <is>
          <t>Difficulty</t>
        </is>
      </c>
      <c r="B2407" s="12" t="inlineStr">
        <is>
          <t>5 — Expert — you are doing research; expect to write drivers and validate your own results</t>
        </is>
      </c>
    </row>
    <row r="2408" outlineLevel="1" ht="25" customHeight="1">
      <c r="A2408" s="45" t="inlineStr">
        <is>
          <t>HOW</t>
        </is>
      </c>
      <c r="B2408" s="46" t="inlineStr">
        <is>
          <t>A crystal converts each gamma ray to light proportional to its energy; histogram the flashes and isotope fingerprints emerge — identification, not just detection.</t>
        </is>
      </c>
    </row>
    <row r="2409" outlineLevel="1" ht="21" customHeight="1">
      <c r="A2409" s="45" t="inlineStr">
        <is>
          <t>COMMON</t>
        </is>
      </c>
      <c r="B2409" s="46" t="inlineStr">
        <is>
          <t>Mineral identification, food/ceramic testing, fallout archaeology (trinitite!), educational nuclear science.</t>
        </is>
      </c>
    </row>
    <row r="2410" outlineLevel="1" ht="24" customHeight="1">
      <c r="A2410" s="45" t="inlineStr">
        <is>
          <t>INVENTION</t>
        </is>
      </c>
      <c r="B2410" s="48" t="inlineStr">
        <is>
          <t>The Open Gamma Detector project makes isotope ID a weekend build — identify thorium lantern mantles, uranium glaze, and potassium in bananas BY NAME.</t>
        </is>
      </c>
    </row>
    <row r="2411" outlineLevel="1" ht="16" customHeight="1">
      <c r="A2411" s="45" t="inlineStr">
        <is>
          <t>PAIRS</t>
        </is>
      </c>
      <c r="B2411" s="46" t="inlineStr">
        <is>
          <t>Touch display spectrum view, 3D-printed lead shield</t>
        </is>
      </c>
    </row>
    <row r="2412" outlineLevel="1" ht="15" customHeight="1">
      <c r="A2412" s="45" t="inlineStr">
        <is>
          <t>KEY</t>
        </is>
      </c>
      <c r="B2412" s="46" t="inlineStr">
        <is>
          <t>Radiacode-adjacent DIY; energy resolution ~7%</t>
        </is>
      </c>
    </row>
    <row r="2413" outlineLevel="1" ht="16" customHeight="1">
      <c r="A2413" s="45" t="inlineStr">
        <is>
          <t>buy</t>
        </is>
      </c>
      <c r="B2413" s="49" t="inlineStr">
        <is>
          <t>AE · DIY   |   boards: CsI(Tl) crystal + SiPM + opamp MCA   |   lib: Open Gamma Detector project   [High]</t>
        </is>
      </c>
    </row>
    <row r="2415" ht="22" customHeight="1">
      <c r="A2415" s="54" t="inlineStr">
        <is>
          <t>S189</t>
        </is>
      </c>
      <c r="B2415" s="55" t="inlineStr">
        <is>
          <t>AHT20 temp/humidity   ·   AHT20 / AHT21 / AHT30</t>
        </is>
      </c>
    </row>
    <row r="2416" outlineLevel="1" ht="15" customHeight="1">
      <c r="A2416" s="45" t="inlineStr">
        <is>
          <t>Category</t>
        </is>
      </c>
      <c r="B2416" s="12" t="inlineStr">
        <is>
          <t>Humidity &amp; Moisture › Budget I2C</t>
        </is>
      </c>
      <c r="E2416" s="45" t="inlineStr">
        <is>
          <t>Measures</t>
        </is>
      </c>
      <c r="F2416" s="12" t="inlineStr">
        <is>
          <t>RH + temperature, the modern DHT replacement</t>
        </is>
      </c>
    </row>
    <row r="2417" outlineLevel="1" ht="15" customHeight="1">
      <c r="A2417" s="45" t="inlineStr">
        <is>
          <t>Modality</t>
        </is>
      </c>
      <c r="B2417" s="12" t="inlineStr">
        <is>
          <t>—</t>
        </is>
      </c>
      <c r="E2417" s="45" t="inlineStr">
        <is>
          <t>Interface</t>
        </is>
      </c>
      <c r="F2417" s="12" t="inlineStr">
        <is>
          <t>I2C</t>
        </is>
      </c>
    </row>
    <row r="2418" outlineLevel="1" ht="15" customHeight="1">
      <c r="A2418" s="45" t="inlineStr">
        <is>
          <t>Supply</t>
        </is>
      </c>
      <c r="B2418" s="12" t="inlineStr">
        <is>
          <t>2.0-5.5V</t>
        </is>
      </c>
      <c r="E2418" s="45" t="inlineStr">
        <is>
          <t>Price</t>
        </is>
      </c>
      <c r="F2418" s="12" t="inlineStr">
        <is>
          <t>$2  ($)</t>
        </is>
      </c>
    </row>
    <row r="2419" outlineLevel="1" ht="15" customHeight="1">
      <c r="A2419" s="45" t="inlineStr">
        <is>
          <t>Difficulty</t>
        </is>
      </c>
      <c r="B2419" s="12" t="inlineStr">
        <is>
          <t>1 — Plug and play — Qwiic/STEMMA cable or 3 wires, library example works first time</t>
        </is>
      </c>
    </row>
    <row r="2420" outlineLevel="1" ht="22" customHeight="1">
      <c r="A2420" s="45" t="inlineStr">
        <is>
          <t>HOW</t>
        </is>
      </c>
      <c r="B2420" s="46" t="inlineStr">
        <is>
          <t>Capacitive polymer RH plus bandgap temp with clean I2C — what DHT22 should have been: faster, smaller, more reliable, cheaper.</t>
        </is>
      </c>
    </row>
    <row r="2421" outlineLevel="1" ht="16" customHeight="1">
      <c r="A2421" s="45" t="inlineStr">
        <is>
          <t>COMMON</t>
        </is>
      </c>
      <c r="B2421" s="46" t="inlineStr">
        <is>
          <t>Anywhere DHT22 appears in old tutorials — use this instead.</t>
        </is>
      </c>
    </row>
    <row r="2422" outlineLevel="1" ht="22" customHeight="1">
      <c r="A2422" s="45" t="inlineStr">
        <is>
          <t>INVENTION</t>
        </is>
      </c>
      <c r="B2422" s="48" t="inlineStr">
        <is>
          <t>At $2/node, sprinkle 10 through the house: a room-by-room 'comfort map' showing which rooms drift coldest at night and why.</t>
        </is>
      </c>
    </row>
    <row r="2423" outlineLevel="1" ht="15" customHeight="1">
      <c r="A2423" s="45" t="inlineStr">
        <is>
          <t>PAIRS</t>
        </is>
      </c>
      <c r="B2423" s="46" t="inlineStr">
        <is>
          <t>ESP-NOW swarm, heatmap dashboard</t>
        </is>
      </c>
    </row>
    <row r="2424" outlineLevel="1" ht="15" customHeight="1">
      <c r="A2424" s="45" t="inlineStr">
        <is>
          <t>KEY</t>
        </is>
      </c>
      <c r="B2424" s="46" t="inlineStr">
        <is>
          <t>±2% RH, ±0.3°C</t>
        </is>
      </c>
    </row>
    <row r="2425" outlineLevel="1" ht="16" customHeight="1">
      <c r="A2425" s="45" t="inlineStr">
        <is>
          <t>buy</t>
        </is>
      </c>
      <c r="B2425" s="49" t="inlineStr">
        <is>
          <t>AE · AF · DFR   |   boards: AHT20 boards, ENS160+AHT21 combos   |   lib: Adafruit_AHTX0   [High]</t>
        </is>
      </c>
    </row>
    <row r="2427" ht="22" customHeight="1">
      <c r="A2427" s="54" t="inlineStr">
        <is>
          <t>S190</t>
        </is>
      </c>
      <c r="B2427" s="55" t="inlineStr">
        <is>
          <t>Si7021 humidity/temp   ·   Si7021-A20</t>
        </is>
      </c>
    </row>
    <row r="2428" outlineLevel="1" ht="15" customHeight="1">
      <c r="A2428" s="45" t="inlineStr">
        <is>
          <t>Category</t>
        </is>
      </c>
      <c r="B2428" s="12" t="inlineStr">
        <is>
          <t>Humidity &amp; Moisture › Budget I2C</t>
        </is>
      </c>
      <c r="E2428" s="45" t="inlineStr">
        <is>
          <t>Measures</t>
        </is>
      </c>
      <c r="F2428" s="12" t="inlineStr">
        <is>
          <t>RH + temp with protective cover option</t>
        </is>
      </c>
    </row>
    <row r="2429" outlineLevel="1" ht="15" customHeight="1">
      <c r="A2429" s="45" t="inlineStr">
        <is>
          <t>Modality</t>
        </is>
      </c>
      <c r="B2429" s="12" t="inlineStr">
        <is>
          <t>—</t>
        </is>
      </c>
      <c r="E2429" s="45" t="inlineStr">
        <is>
          <t>Interface</t>
        </is>
      </c>
      <c r="F2429" s="12" t="inlineStr">
        <is>
          <t>I2C</t>
        </is>
      </c>
    </row>
    <row r="2430" outlineLevel="1" ht="15" customHeight="1">
      <c r="A2430" s="45" t="inlineStr">
        <is>
          <t>Supply</t>
        </is>
      </c>
      <c r="B2430" s="12" t="inlineStr">
        <is>
          <t>1.9-3.6V</t>
        </is>
      </c>
      <c r="E2430" s="45" t="inlineStr">
        <is>
          <t>Price</t>
        </is>
      </c>
      <c r="F2430" s="12" t="inlineStr">
        <is>
          <t>$4  ($)</t>
        </is>
      </c>
    </row>
    <row r="2431" outlineLevel="1" ht="15" customHeight="1">
      <c r="A2431" s="45" t="inlineStr">
        <is>
          <t>Difficulty</t>
        </is>
      </c>
      <c r="B2431" s="12" t="inlineStr">
        <is>
          <t>1 — Plug and play — Qwiic/STEMMA cable or 3 wires, library example works first time</t>
        </is>
      </c>
    </row>
    <row r="2432" outlineLevel="1" ht="23" customHeight="1">
      <c r="A2432" s="45" t="inlineStr">
        <is>
          <t>HOW</t>
        </is>
      </c>
      <c r="B2432" s="46" t="inlineStr">
        <is>
          <t>Silicon Labs' CMOS RH sensor with factory calibration and an optional dust/splash PTFE cover — long-running favourite for outdoor-ish nodes.</t>
        </is>
      </c>
    </row>
    <row r="2433" outlineLevel="1" ht="15" customHeight="1">
      <c r="A2433" s="45" t="inlineStr">
        <is>
          <t>COMMON</t>
        </is>
      </c>
      <c r="B2433" s="46" t="inlineStr">
        <is>
          <t>Weather stations, terrariums, HVAC monitoring.</t>
        </is>
      </c>
    </row>
    <row r="2434" outlineLevel="1" ht="20" customHeight="1">
      <c r="A2434" s="45" t="inlineStr">
        <is>
          <t>INVENTION</t>
        </is>
      </c>
      <c r="B2434" s="48" t="inlineStr">
        <is>
          <t>Wine-cellar/cheese-cave warden: tight RH bands matter for ageing — alert before the cave drifts dry.</t>
        </is>
      </c>
    </row>
    <row r="2435" outlineLevel="1" ht="15" customHeight="1">
      <c r="A2435" s="45" t="inlineStr">
        <is>
          <t>PAIRS</t>
        </is>
      </c>
      <c r="B2435" s="46" t="inlineStr">
        <is>
          <t>ePaper cellar dashboard, humidifier relay</t>
        </is>
      </c>
    </row>
    <row r="2436" outlineLevel="1" ht="15" customHeight="1">
      <c r="A2436" s="45" t="inlineStr">
        <is>
          <t>KEY</t>
        </is>
      </c>
      <c r="B2436" s="46" t="inlineStr">
        <is>
          <t>±3% RH, ±0.4°C</t>
        </is>
      </c>
    </row>
    <row r="2437" outlineLevel="1" ht="16" customHeight="1">
      <c r="A2437" s="45" t="inlineStr">
        <is>
          <t>buy</t>
        </is>
      </c>
      <c r="B2437" s="49" t="inlineStr">
        <is>
          <t>AF · SF · AE · DK   |   boards: GY-21, Adafruit 3251   |   lib: Adafruit_Si7021   [High]</t>
        </is>
      </c>
    </row>
    <row r="2439" ht="22" customHeight="1">
      <c r="A2439" s="54" t="inlineStr">
        <is>
          <t>S191</t>
        </is>
      </c>
      <c r="B2439" s="55" t="inlineStr">
        <is>
          <t>SHTC3 tiny low-power RH/T   ·   SHTC3</t>
        </is>
      </c>
    </row>
    <row r="2440" outlineLevel="1" ht="15" customHeight="1">
      <c r="A2440" s="45" t="inlineStr">
        <is>
          <t>Category</t>
        </is>
      </c>
      <c r="B2440" s="12" t="inlineStr">
        <is>
          <t>Humidity &amp; Moisture › Wearable-grade</t>
        </is>
      </c>
      <c r="E2440" s="45" t="inlineStr">
        <is>
          <t>Measures</t>
        </is>
      </c>
      <c r="F2440" s="12" t="inlineStr">
        <is>
          <t>RH + temp at micro power in 2x2mm</t>
        </is>
      </c>
    </row>
    <row r="2441" outlineLevel="1" ht="15" customHeight="1">
      <c r="A2441" s="45" t="inlineStr">
        <is>
          <t>Modality</t>
        </is>
      </c>
      <c r="B2441" s="12" t="inlineStr">
        <is>
          <t>—</t>
        </is>
      </c>
      <c r="E2441" s="45" t="inlineStr">
        <is>
          <t>Interface</t>
        </is>
      </c>
      <c r="F2441" s="12" t="inlineStr">
        <is>
          <t>I2C</t>
        </is>
      </c>
    </row>
    <row r="2442" outlineLevel="1" ht="15" customHeight="1">
      <c r="A2442" s="45" t="inlineStr">
        <is>
          <t>Supply</t>
        </is>
      </c>
      <c r="B2442" s="12" t="inlineStr">
        <is>
          <t>1.62-3.6V</t>
        </is>
      </c>
      <c r="E2442" s="45" t="inlineStr">
        <is>
          <t>Price</t>
        </is>
      </c>
      <c r="F2442" s="12" t="inlineStr">
        <is>
          <t>$4  ($)</t>
        </is>
      </c>
    </row>
    <row r="2443" outlineLevel="1" ht="15" customHeight="1">
      <c r="A2443" s="45" t="inlineStr">
        <is>
          <t>Difficulty</t>
        </is>
      </c>
      <c r="B2443" s="12" t="inlineStr">
        <is>
          <t>1 — Plug and play — Qwiic/STEMMA cable or 3 wires, library example works first time</t>
        </is>
      </c>
    </row>
    <row r="2444" outlineLevel="1" ht="19" customHeight="1">
      <c r="A2444" s="45" t="inlineStr">
        <is>
          <t>HOW</t>
        </is>
      </c>
      <c r="B2444" s="46" t="inlineStr">
        <is>
          <t>Sensirion's smallest RH sensor, designed for phones/wearables — sips current and fits anywhere.</t>
        </is>
      </c>
    </row>
    <row r="2445" outlineLevel="1" ht="17" customHeight="1">
      <c r="A2445" s="45" t="inlineStr">
        <is>
          <t>COMMON</t>
        </is>
      </c>
      <c r="B2445" s="46" t="inlineStr">
        <is>
          <t>Battery badges, inside-device climate, mailbox/birdhouse nodes.</t>
        </is>
      </c>
    </row>
    <row r="2446" outlineLevel="1" ht="23" customHeight="1">
      <c r="A2446" s="45" t="inlineStr">
        <is>
          <t>INVENTION</t>
        </is>
      </c>
      <c r="B2446" s="48" t="inlineStr">
        <is>
          <t>Birdhouse occupancy via microclimate: a nesting bird measurably raises RH+temp — wildlife sensing with no camera and no disturbance.</t>
        </is>
      </c>
    </row>
    <row r="2447" outlineLevel="1" ht="15" customHeight="1">
      <c r="A2447" s="45" t="inlineStr">
        <is>
          <t>PAIRS</t>
        </is>
      </c>
      <c r="B2447" s="46" t="inlineStr">
        <is>
          <t>ESP32-C3 + solar cell + ESP-NOW</t>
        </is>
      </c>
    </row>
    <row r="2448" outlineLevel="1" ht="15" customHeight="1">
      <c r="A2448" s="45" t="inlineStr">
        <is>
          <t>KEY</t>
        </is>
      </c>
      <c r="B2448" s="46" t="inlineStr">
        <is>
          <t>±2% RH, ±0.2°C</t>
        </is>
      </c>
    </row>
    <row r="2449" outlineLevel="1" ht="16" customHeight="1">
      <c r="A2449" s="45" t="inlineStr">
        <is>
          <t>buy</t>
        </is>
      </c>
      <c r="B2449" s="49" t="inlineStr">
        <is>
          <t>AF · SF · DK   |   boards: Adafruit 4636   |   lib: Adafruit_SHTC3   [High]</t>
        </is>
      </c>
    </row>
    <row r="2451" ht="22" customHeight="1">
      <c r="A2451" s="54" t="inlineStr">
        <is>
          <t>S192</t>
        </is>
      </c>
      <c r="B2451" s="55" t="inlineStr">
        <is>
          <t>BMP280 budget barometer   ·   BMP280</t>
        </is>
      </c>
    </row>
    <row r="2452" outlineLevel="1" ht="15" customHeight="1">
      <c r="A2452" s="45" t="inlineStr">
        <is>
          <t>Category</t>
        </is>
      </c>
      <c r="B2452" s="12" t="inlineStr">
        <is>
          <t>Pressure &amp; Altitude › Barometric</t>
        </is>
      </c>
      <c r="E2452" s="45" t="inlineStr">
        <is>
          <t>Measures</t>
        </is>
      </c>
      <c r="F2452" s="12" t="inlineStr">
        <is>
          <t>Pressure + temp (the $1 altimeter)</t>
        </is>
      </c>
    </row>
    <row r="2453" outlineLevel="1" ht="15" customHeight="1">
      <c r="A2453" s="45" t="inlineStr">
        <is>
          <t>Modality</t>
        </is>
      </c>
      <c r="B2453" s="12" t="inlineStr">
        <is>
          <t>—</t>
        </is>
      </c>
      <c r="E2453" s="45" t="inlineStr">
        <is>
          <t>Interface</t>
        </is>
      </c>
      <c r="F2453" s="12" t="inlineStr">
        <is>
          <t>I2C / SPI</t>
        </is>
      </c>
    </row>
    <row r="2454" outlineLevel="1" ht="15" customHeight="1">
      <c r="A2454" s="45" t="inlineStr">
        <is>
          <t>Supply</t>
        </is>
      </c>
      <c r="B2454" s="12" t="inlineStr">
        <is>
          <t>1.7-3.6V</t>
        </is>
      </c>
      <c r="E2454" s="45" t="inlineStr">
        <is>
          <t>Price</t>
        </is>
      </c>
      <c r="F2454" s="12" t="inlineStr">
        <is>
          <t>$1.5  ($)</t>
        </is>
      </c>
    </row>
    <row r="2455" outlineLevel="1" ht="15" customHeight="1">
      <c r="A2455" s="45" t="inlineStr">
        <is>
          <t>Difficulty</t>
        </is>
      </c>
      <c r="B2455" s="12" t="inlineStr">
        <is>
          <t>1 — Plug and play — Qwiic/STEMMA cable or 3 wires, library example works first time</t>
        </is>
      </c>
    </row>
    <row r="2456" outlineLevel="1" ht="22" customHeight="1">
      <c r="A2456" s="45" t="inlineStr">
        <is>
          <t>HOW</t>
        </is>
      </c>
      <c r="B2456" s="46" t="inlineStr">
        <is>
          <t>The humidity-less sibling of BME280 — same pressure membrane, half the price; most 'BME280' clones at $2 are secretly this.</t>
        </is>
      </c>
    </row>
    <row r="2457" outlineLevel="1" ht="18" customHeight="1">
      <c r="A2457" s="45" t="inlineStr">
        <is>
          <t>COMMON</t>
        </is>
      </c>
      <c r="B2457" s="46" t="inlineStr">
        <is>
          <t>Budget weather logging, altitude for model rockets, pressure-trend storm hints.</t>
        </is>
      </c>
    </row>
    <row r="2458" outlineLevel="1" ht="22" customHeight="1">
      <c r="A2458" s="45" t="inlineStr">
        <is>
          <t>INVENTION</t>
        </is>
      </c>
      <c r="B2458" s="48" t="inlineStr">
        <is>
          <t>Model-rocket apogee logger the size of a thumbnail: launch-detect via pressure drop rate, log the whole flight curve to flash.</t>
        </is>
      </c>
    </row>
    <row r="2459" outlineLevel="1" ht="15" customHeight="1">
      <c r="A2459" s="45" t="inlineStr">
        <is>
          <t>PAIRS</t>
        </is>
      </c>
      <c r="B2459" s="46" t="inlineStr">
        <is>
          <t>High-g accel for thrust phase, SD/flash logging</t>
        </is>
      </c>
    </row>
    <row r="2460" outlineLevel="1" ht="15" customHeight="1">
      <c r="A2460" s="45" t="inlineStr">
        <is>
          <t>KEY</t>
        </is>
      </c>
      <c r="B2460" s="46" t="inlineStr">
        <is>
          <t>±1hPa, ±1m relative altitude class</t>
        </is>
      </c>
    </row>
    <row r="2461" outlineLevel="1" ht="16" customHeight="1">
      <c r="A2461" s="45" t="inlineStr">
        <is>
          <t>buy</t>
        </is>
      </c>
      <c r="B2461" s="49" t="inlineStr">
        <is>
          <t>AE · AMZ · DFR · CE   |   boards: GY-B(M)P280   |   lib: Adafruit_BMP280   [High]</t>
        </is>
      </c>
    </row>
    <row r="2463" ht="22" customHeight="1">
      <c r="A2463" s="54" t="inlineStr">
        <is>
          <t>S193</t>
        </is>
      </c>
      <c r="B2463" s="55" t="inlineStr">
        <is>
          <t>TSL2561 lux sensor   ·   TSL2561</t>
        </is>
      </c>
    </row>
    <row r="2464" outlineLevel="1" ht="15" customHeight="1">
      <c r="A2464" s="45" t="inlineStr">
        <is>
          <t>Category</t>
        </is>
      </c>
      <c r="B2464" s="12" t="inlineStr">
        <is>
          <t>Light &amp; UV › Ambient lux</t>
        </is>
      </c>
      <c r="E2464" s="45" t="inlineStr">
        <is>
          <t>Measures</t>
        </is>
      </c>
      <c r="F2464" s="12" t="inlineStr">
        <is>
          <t>Lux with IR compensation, legacy favourite</t>
        </is>
      </c>
    </row>
    <row r="2465" outlineLevel="1" ht="15" customHeight="1">
      <c r="A2465" s="45" t="inlineStr">
        <is>
          <t>Modality</t>
        </is>
      </c>
      <c r="B2465" s="12" t="inlineStr">
        <is>
          <t>—</t>
        </is>
      </c>
      <c r="E2465" s="45" t="inlineStr">
        <is>
          <t>Interface</t>
        </is>
      </c>
      <c r="F2465" s="12" t="inlineStr">
        <is>
          <t>I2C</t>
        </is>
      </c>
    </row>
    <row r="2466" outlineLevel="1" ht="15" customHeight="1">
      <c r="A2466" s="45" t="inlineStr">
        <is>
          <t>Supply</t>
        </is>
      </c>
      <c r="B2466" s="12" t="inlineStr">
        <is>
          <t>2.7-3.6V</t>
        </is>
      </c>
      <c r="E2466" s="45" t="inlineStr">
        <is>
          <t>Price</t>
        </is>
      </c>
      <c r="F2466" s="12" t="inlineStr">
        <is>
          <t>$4  ($)</t>
        </is>
      </c>
    </row>
    <row r="2467" outlineLevel="1" ht="15" customHeight="1">
      <c r="A2467" s="45" t="inlineStr">
        <is>
          <t>Difficulty</t>
        </is>
      </c>
      <c r="B2467" s="12" t="inlineStr">
        <is>
          <t>1 — Plug and play — Qwiic/STEMMA cable or 3 wires, library example works first time</t>
        </is>
      </c>
    </row>
    <row r="2468" outlineLevel="1" ht="22" customHeight="1">
      <c r="A2468" s="45" t="inlineStr">
        <is>
          <t>HOW</t>
        </is>
      </c>
      <c r="B2468" s="46" t="inlineStr">
        <is>
          <t>Dual photodiodes (visible+IR and IR-only) let software subtract infrared for human-accurate lux — the long-time tutorial standard.</t>
        </is>
      </c>
    </row>
    <row r="2469" outlineLevel="1" ht="17" customHeight="1">
      <c r="A2469" s="45" t="inlineStr">
        <is>
          <t>COMMON</t>
        </is>
      </c>
      <c r="B2469" s="46" t="inlineStr">
        <is>
          <t>Grow-light schedules, lux-triggered blinds, photography meters.</t>
        </is>
      </c>
    </row>
    <row r="2470" outlineLevel="1" ht="22" customHeight="1">
      <c r="A2470" s="45" t="inlineStr">
        <is>
          <t>INVENTION</t>
        </is>
      </c>
      <c r="B2470" s="48" t="inlineStr">
        <is>
          <t>Light-share fairness in shared offices: log who actually sits in daylight vs cave seats — data for the seating-chart revolution.</t>
        </is>
      </c>
    </row>
    <row r="2471" outlineLevel="1" ht="15" customHeight="1">
      <c r="A2471" s="45" t="inlineStr">
        <is>
          <t>PAIRS</t>
        </is>
      </c>
      <c r="B2471" s="46" t="inlineStr">
        <is>
          <t>Servo blinds, MQTT</t>
        </is>
      </c>
    </row>
    <row r="2472" outlineLevel="1" ht="15" customHeight="1">
      <c r="A2472" s="45" t="inlineStr">
        <is>
          <t>KEY</t>
        </is>
      </c>
      <c r="B2472" s="46" t="inlineStr">
        <is>
          <t>0.1-40k lux, 3 address options</t>
        </is>
      </c>
    </row>
    <row r="2473" outlineLevel="1" ht="16" customHeight="1">
      <c r="A2473" s="45" t="inlineStr">
        <is>
          <t>buy</t>
        </is>
      </c>
      <c r="B2473" s="49" t="inlineStr">
        <is>
          <t>AF · AE · DK · CE   |   boards: GY-2561, Adafruit 439   |   lib: Adafruit_TSL2561   [High]</t>
        </is>
      </c>
    </row>
    <row r="2475" ht="22" customHeight="1">
      <c r="A2475" s="54" t="inlineStr">
        <is>
          <t>S194</t>
        </is>
      </c>
      <c r="B2475" s="55" t="inlineStr">
        <is>
          <t>MAX44009 ultra-low-power lux   ·   MAX44009</t>
        </is>
      </c>
    </row>
    <row r="2476" outlineLevel="1" ht="15" customHeight="1">
      <c r="A2476" s="45" t="inlineStr">
        <is>
          <t>Category</t>
        </is>
      </c>
      <c r="B2476" s="12" t="inlineStr">
        <is>
          <t>Light &amp; UV › Ambient lux</t>
        </is>
      </c>
      <c r="E2476" s="45" t="inlineStr">
        <is>
          <t>Measures</t>
        </is>
      </c>
      <c r="F2476" s="12" t="inlineStr">
        <is>
          <t>Lux 0.045-188,000 at 0.65µA</t>
        </is>
      </c>
    </row>
    <row r="2477" outlineLevel="1" ht="15" customHeight="1">
      <c r="A2477" s="45" t="inlineStr">
        <is>
          <t>Modality</t>
        </is>
      </c>
      <c r="B2477" s="12" t="inlineStr">
        <is>
          <t>—</t>
        </is>
      </c>
      <c r="E2477" s="45" t="inlineStr">
        <is>
          <t>Interface</t>
        </is>
      </c>
      <c r="F2477" s="12" t="inlineStr">
        <is>
          <t>I2C</t>
        </is>
      </c>
    </row>
    <row r="2478" outlineLevel="1" ht="15" customHeight="1">
      <c r="A2478" s="45" t="inlineStr">
        <is>
          <t>Supply</t>
        </is>
      </c>
      <c r="B2478" s="12" t="inlineStr">
        <is>
          <t>1.7-3.6V</t>
        </is>
      </c>
      <c r="E2478" s="45" t="inlineStr">
        <is>
          <t>Price</t>
        </is>
      </c>
      <c r="F2478" s="12" t="inlineStr">
        <is>
          <t>$3  ($)</t>
        </is>
      </c>
    </row>
    <row r="2479" outlineLevel="1" ht="15" customHeight="1">
      <c r="A2479" s="45" t="inlineStr">
        <is>
          <t>Difficulty</t>
        </is>
      </c>
      <c r="B2479" s="12" t="inlineStr">
        <is>
          <t>1 — Plug and play — Qwiic/STEMMA cable or 3 wires, library example works first time</t>
        </is>
      </c>
    </row>
    <row r="2480" outlineLevel="1" ht="21" customHeight="1">
      <c r="A2480" s="45" t="inlineStr">
        <is>
          <t>HOW</t>
        </is>
      </c>
      <c r="B2480" s="46" t="inlineStr">
        <is>
          <t>The lowest-power lux sensor in the hobby canon — wide dynamic range with current draw so small a coin cell lasts years.</t>
        </is>
      </c>
    </row>
    <row r="2481" outlineLevel="1" ht="18" customHeight="1">
      <c r="A2481" s="45" t="inlineStr">
        <is>
          <t>COMMON</t>
        </is>
      </c>
      <c r="B2481" s="46" t="inlineStr">
        <is>
          <t>Battery dawn/dusk switches, solar lamp controllers, multi-year light loggers.</t>
        </is>
      </c>
    </row>
    <row r="2482" outlineLevel="1" ht="23" customHeight="1">
      <c r="A2482" s="45" t="inlineStr">
        <is>
          <t>INVENTION</t>
        </is>
      </c>
      <c r="B2482" s="48" t="inlineStr">
        <is>
          <t>A decade-logger: coin cell + MAX44009 + flash = a 'light history of one windowsill' time capsule, sampling every 10 minutes for years.</t>
        </is>
      </c>
    </row>
    <row r="2483" outlineLevel="1" ht="15" customHeight="1">
      <c r="A2483" s="45" t="inlineStr">
        <is>
          <t>PAIRS</t>
        </is>
      </c>
      <c r="B2483" s="46" t="inlineStr">
        <is>
          <t>ESP32-C3 deep sleep mastery, NVS ring buffer</t>
        </is>
      </c>
    </row>
    <row r="2484" outlineLevel="1" ht="15" customHeight="1">
      <c r="A2484" s="45" t="inlineStr">
        <is>
          <t>KEY</t>
        </is>
      </c>
      <c r="B2484" s="46" t="inlineStr">
        <is>
          <t>22-bit dynamic range, interrupt on threshold</t>
        </is>
      </c>
    </row>
    <row r="2485" outlineLevel="1" ht="16" customHeight="1">
      <c r="A2485" s="45" t="inlineStr">
        <is>
          <t>buy</t>
        </is>
      </c>
      <c r="B2485" s="49" t="inlineStr">
        <is>
          <t>AE · DK · MO   |   boards: GY-49   |   lib: MAX44009 libs   [High]</t>
        </is>
      </c>
    </row>
    <row r="2487" ht="22" customHeight="1">
      <c r="A2487" s="54" t="inlineStr">
        <is>
          <t>S195</t>
        </is>
      </c>
      <c r="B2487" s="55" t="inlineStr">
        <is>
          <t>SI1145 UV/IR/visible   ·   SI1145</t>
        </is>
      </c>
    </row>
    <row r="2488" outlineLevel="1" ht="15" customHeight="1">
      <c r="A2488" s="45" t="inlineStr">
        <is>
          <t>Category</t>
        </is>
      </c>
      <c r="B2488" s="12" t="inlineStr">
        <is>
          <t>Light &amp; UV › UV index</t>
        </is>
      </c>
      <c r="E2488" s="45" t="inlineStr">
        <is>
          <t>Measures</t>
        </is>
      </c>
      <c r="F2488" s="12" t="inlineStr">
        <is>
          <t>UV index (computed), visible, IR + proximity</t>
        </is>
      </c>
    </row>
    <row r="2489" outlineLevel="1" ht="15" customHeight="1">
      <c r="A2489" s="45" t="inlineStr">
        <is>
          <t>Modality</t>
        </is>
      </c>
      <c r="B2489" s="12" t="inlineStr">
        <is>
          <t>—</t>
        </is>
      </c>
      <c r="E2489" s="45" t="inlineStr">
        <is>
          <t>Interface</t>
        </is>
      </c>
      <c r="F2489" s="12" t="inlineStr">
        <is>
          <t>I2C</t>
        </is>
      </c>
    </row>
    <row r="2490" outlineLevel="1" ht="15" customHeight="1">
      <c r="A2490" s="45" t="inlineStr">
        <is>
          <t>Supply</t>
        </is>
      </c>
      <c r="B2490" s="12" t="inlineStr">
        <is>
          <t>3.3V (board 5V ok)</t>
        </is>
      </c>
      <c r="E2490" s="45" t="inlineStr">
        <is>
          <t>Price</t>
        </is>
      </c>
      <c r="F2490" s="12" t="inlineStr">
        <is>
          <t>$8  ($$)</t>
        </is>
      </c>
    </row>
    <row r="2491" outlineLevel="1" ht="15" customHeight="1">
      <c r="A2491" s="45" t="inlineStr">
        <is>
          <t>Difficulty</t>
        </is>
      </c>
      <c r="B2491" s="12" t="inlineStr">
        <is>
          <t>1 — Plug and play — Qwiic/STEMMA cable or 3 wires, library example works first time</t>
        </is>
      </c>
    </row>
    <row r="2492" outlineLevel="1" ht="23" customHeight="1">
      <c r="A2492" s="45" t="inlineStr">
        <is>
          <t>HOW</t>
        </is>
      </c>
      <c r="B2492" s="46" t="inlineStr">
        <is>
          <t>Reads visible and IR then computes a calibrated UV index estimate — plus drives an external IR LED for proximity sensing as a bonus.</t>
        </is>
      </c>
    </row>
    <row r="2493" outlineLevel="1" ht="17" customHeight="1">
      <c r="A2493" s="45" t="inlineStr">
        <is>
          <t>COMMON</t>
        </is>
      </c>
      <c r="B2493" s="46" t="inlineStr">
        <is>
          <t>Weather stations, garden UV dosing, window-film effectiveness tests.</t>
        </is>
      </c>
    </row>
    <row r="2494" outlineLevel="1" ht="36" customHeight="1">
      <c r="A2494" s="45" t="inlineStr">
        <is>
          <t>INVENTION</t>
        </is>
      </c>
      <c r="B2494" s="48" t="inlineStr">
        <is>
          <t>Good for relative daylight/proximity work. Do NOT use it to certify UV blocking of sunglasses or window film — it infers UVI from visible+IR rather than measuring UV, so a tint that changes visible transmission will move the reading without telling you anything about UV. Use an AS7331 for that.</t>
        </is>
      </c>
    </row>
    <row r="2495" outlineLevel="1" ht="15" customHeight="1">
      <c r="A2495" s="45" t="inlineStr">
        <is>
          <t>PAIRS</t>
        </is>
      </c>
      <c r="B2495" s="46" t="inlineStr">
        <is>
          <t>Dual-sensor comparison rigs</t>
        </is>
      </c>
    </row>
    <row r="2496" outlineLevel="1" ht="15" customHeight="1">
      <c r="A2496" s="45" t="inlineStr">
        <is>
          <t>KEY</t>
        </is>
      </c>
      <c r="B2496" s="46" t="inlineStr">
        <is>
          <t>UV index estimate (not direct UV photodiode)</t>
        </is>
      </c>
    </row>
    <row r="2497" outlineLevel="1" ht="16" customHeight="1">
      <c r="A2497" s="45" t="inlineStr">
        <is>
          <t>buy</t>
        </is>
      </c>
      <c r="B2497" s="49" t="inlineStr">
        <is>
          <t>AF · AE · DK   |   boards: GY-1145, Adafruit 1777   |   lib: Adafruit_SI1145   [High]</t>
        </is>
      </c>
    </row>
    <row r="2499" ht="22" customHeight="1">
      <c r="A2499" s="54" t="inlineStr">
        <is>
          <t>S196</t>
        </is>
      </c>
      <c r="B2499" s="55" t="inlineStr">
        <is>
          <t>VCNL4040 proximity + lux   ·   VCNL4040</t>
        </is>
      </c>
    </row>
    <row r="2500" outlineLevel="1" ht="15" customHeight="1">
      <c r="A2500" s="45" t="inlineStr">
        <is>
          <t>Category</t>
        </is>
      </c>
      <c r="B2500" s="12" t="inlineStr">
        <is>
          <t>Distance &amp; Ranging › IR proximity</t>
        </is>
      </c>
      <c r="E2500" s="45" t="inlineStr">
        <is>
          <t>Measures</t>
        </is>
      </c>
      <c r="F2500" s="12" t="inlineStr">
        <is>
          <t>Proximity 0-20cm + ambient light, no dead zone</t>
        </is>
      </c>
    </row>
    <row r="2501" outlineLevel="1" ht="15" customHeight="1">
      <c r="A2501" s="45" t="inlineStr">
        <is>
          <t>Modality</t>
        </is>
      </c>
      <c r="B2501" s="12" t="inlineStr">
        <is>
          <t>—</t>
        </is>
      </c>
      <c r="E2501" s="45" t="inlineStr">
        <is>
          <t>Interface</t>
        </is>
      </c>
      <c r="F2501" s="12" t="inlineStr">
        <is>
          <t>I2C</t>
        </is>
      </c>
    </row>
    <row r="2502" outlineLevel="1" ht="15" customHeight="1">
      <c r="A2502" s="45" t="inlineStr">
        <is>
          <t>Supply</t>
        </is>
      </c>
      <c r="B2502" s="12" t="inlineStr">
        <is>
          <t>2.5-3.6V</t>
        </is>
      </c>
      <c r="E2502" s="45" t="inlineStr">
        <is>
          <t>Price</t>
        </is>
      </c>
      <c r="F2502" s="12" t="inlineStr">
        <is>
          <t>$6  ($$)</t>
        </is>
      </c>
    </row>
    <row r="2503" outlineLevel="1" ht="15" customHeight="1">
      <c r="A2503" s="45" t="inlineStr">
        <is>
          <t>Difficulty</t>
        </is>
      </c>
      <c r="B2503" s="12" t="inlineStr">
        <is>
          <t>1 — Plug and play — Qwiic/STEMMA cable or 3 wires, library example works first time</t>
        </is>
      </c>
    </row>
    <row r="2504" outlineLevel="1" ht="22" customHeight="1">
      <c r="A2504" s="45" t="inlineStr">
        <is>
          <t>HOW</t>
        </is>
      </c>
      <c r="B2504" s="46" t="inlineStr">
        <is>
          <t>IR LED + photodiode with onboard processing — smooth proximity values from contact to 20cm where ToF sensors have blind spots.</t>
        </is>
      </c>
    </row>
    <row r="2505" outlineLevel="1" ht="19" customHeight="1">
      <c r="A2505" s="45" t="inlineStr">
        <is>
          <t>COMMON</t>
        </is>
      </c>
      <c r="B2505" s="46" t="inlineStr">
        <is>
          <t>Hand-near-device wake, towel-dispenser triggers, pocket detection, short-range gesture.</t>
        </is>
      </c>
    </row>
    <row r="2506" outlineLevel="1" ht="22" customHeight="1">
      <c r="A2506" s="45" t="inlineStr">
        <is>
          <t>INVENTION</t>
        </is>
      </c>
      <c r="B2506" s="48" t="inlineStr">
        <is>
          <t>Devices that wake as your hand APPROACHES (not after touch): screens feel psychic when they light up 200ms before contact.</t>
        </is>
      </c>
    </row>
    <row r="2507" outlineLevel="1" ht="15" customHeight="1">
      <c r="A2507" s="45" t="inlineStr">
        <is>
          <t>PAIRS</t>
        </is>
      </c>
      <c r="B2507" s="46" t="inlineStr">
        <is>
          <t>Display wake logic, MPR121 for the touch itself</t>
        </is>
      </c>
    </row>
    <row r="2508" outlineLevel="1" ht="15" customHeight="1">
      <c r="A2508" s="45" t="inlineStr">
        <is>
          <t>KEY</t>
        </is>
      </c>
      <c r="B2508" s="46" t="inlineStr">
        <is>
          <t>16-bit prox + lux, programmable interrupt</t>
        </is>
      </c>
    </row>
    <row r="2509" outlineLevel="1" ht="16" customHeight="1">
      <c r="A2509" s="45" t="inlineStr">
        <is>
          <t>buy</t>
        </is>
      </c>
      <c r="B2509" s="49" t="inlineStr">
        <is>
          <t>SF · AF · DK   |   boards: SparkFun Qwiic VCNL4040   |   lib: SparkFun VCNL4040   [High]</t>
        </is>
      </c>
    </row>
    <row r="2511" ht="22" customHeight="1">
      <c r="A2511" s="54" t="inlineStr">
        <is>
          <t>S197</t>
        </is>
      </c>
      <c r="B2511" s="55" t="inlineStr">
        <is>
          <t>US-100 ultrasonic w/ temp comp   ·   US-100</t>
        </is>
      </c>
    </row>
    <row r="2512" outlineLevel="1" ht="15" customHeight="1">
      <c r="A2512" s="45" t="inlineStr">
        <is>
          <t>Category</t>
        </is>
      </c>
      <c r="B2512" s="12" t="inlineStr">
        <is>
          <t>Distance &amp; Ranging › Ultrasonic</t>
        </is>
      </c>
      <c r="E2512" s="45" t="inlineStr">
        <is>
          <t>Measures</t>
        </is>
      </c>
      <c r="F2512" s="12" t="inlineStr">
        <is>
          <t>2-450cm with temperature-corrected speed of sound</t>
        </is>
      </c>
    </row>
    <row r="2513" outlineLevel="1" ht="15" customHeight="1">
      <c r="A2513" s="45" t="inlineStr">
        <is>
          <t>Modality</t>
        </is>
      </c>
      <c r="B2513" s="12" t="inlineStr">
        <is>
          <t>—</t>
        </is>
      </c>
      <c r="E2513" s="45" t="inlineStr">
        <is>
          <t>Interface</t>
        </is>
      </c>
      <c r="F2513" s="12" t="inlineStr">
        <is>
          <t>UART / Pulse</t>
        </is>
      </c>
    </row>
    <row r="2514" outlineLevel="1" ht="15" customHeight="1">
      <c r="A2514" s="45" t="inlineStr">
        <is>
          <t>Supply</t>
        </is>
      </c>
      <c r="B2514" s="12" t="inlineStr">
        <is>
          <t>2.4-5.5V (3.3V safe!)</t>
        </is>
      </c>
      <c r="E2514" s="45" t="inlineStr">
        <is>
          <t>Price</t>
        </is>
      </c>
      <c r="F2514" s="12" t="inlineStr">
        <is>
          <t>$4  ($)</t>
        </is>
      </c>
    </row>
    <row r="2515" outlineLevel="1" ht="15" customHeight="1">
      <c r="A2515" s="45" t="inlineStr">
        <is>
          <t>Difficulty</t>
        </is>
      </c>
      <c r="B2515" s="12" t="inlineStr">
        <is>
          <t>1 — Plug and play — Qwiic/STEMMA cable or 3 wires, library example works first time</t>
        </is>
      </c>
    </row>
    <row r="2516" outlineLevel="1" ht="22" customHeight="1">
      <c r="A2516" s="45" t="inlineStr">
        <is>
          <t>HOW</t>
        </is>
      </c>
      <c r="B2516" s="46" t="inlineStr">
        <is>
          <t>HC-SR04-class ranging plus an onboard thermometer that corrects the speed of sound — and a proper UART mode with checksums.</t>
        </is>
      </c>
    </row>
    <row r="2517" outlineLevel="1" ht="17" customHeight="1">
      <c r="A2517" s="45" t="inlineStr">
        <is>
          <t>COMMON</t>
        </is>
      </c>
      <c r="B2517" s="46" t="inlineStr">
        <is>
          <t>Anywhere HC-SR04 goes, but 3.3V-native and more accurate outdoors.</t>
        </is>
      </c>
    </row>
    <row r="2518" outlineLevel="1" ht="22" customHeight="1">
      <c r="A2518" s="45" t="inlineStr">
        <is>
          <t>INVENTION</t>
        </is>
      </c>
      <c r="B2518" s="48" t="inlineStr">
        <is>
          <t>Season-proof snow/water gauges: temp compensation removes the classic cold-morning error that ruins winter ultrasonic data.</t>
        </is>
      </c>
    </row>
    <row r="2519" outlineLevel="1" ht="15" customHeight="1">
      <c r="A2519" s="45" t="inlineStr">
        <is>
          <t>PAIRS</t>
        </is>
      </c>
      <c r="B2519" s="46" t="inlineStr">
        <is>
          <t>Solar node + LoRa, daily statistics</t>
        </is>
      </c>
    </row>
    <row r="2520" outlineLevel="1" ht="15" customHeight="1">
      <c r="A2520" s="45" t="inlineStr">
        <is>
          <t>KEY</t>
        </is>
      </c>
      <c r="B2520" s="46" t="inlineStr">
        <is>
          <t>±0.3cm + temp compensation</t>
        </is>
      </c>
    </row>
    <row r="2521" outlineLevel="1" ht="16" customHeight="1">
      <c r="A2521" s="45" t="inlineStr">
        <is>
          <t>buy</t>
        </is>
      </c>
      <c r="B2521" s="49" t="inlineStr">
        <is>
          <t>AE · AMZ   |   boards: US-100 with jumper for mode   |   lib: UART 2-byte protocol   [High]</t>
        </is>
      </c>
    </row>
    <row r="2523" ht="22" customHeight="1">
      <c r="A2523" s="54" t="inlineStr">
        <is>
          <t>S198</t>
        </is>
      </c>
      <c r="B2523" s="55" t="inlineStr">
        <is>
          <t>MaxBotix MB7389 weather LV   ·   MB7389 HRXL</t>
        </is>
      </c>
    </row>
    <row r="2524" outlineLevel="1" ht="15" customHeight="1">
      <c r="A2524" s="45" t="inlineStr">
        <is>
          <t>Category</t>
        </is>
      </c>
      <c r="B2524" s="12" t="inlineStr">
        <is>
          <t>Distance &amp; Ranging › Ultrasonic (industrial)</t>
        </is>
      </c>
      <c r="E2524" s="45" t="inlineStr">
        <is>
          <t>Measures</t>
        </is>
      </c>
      <c r="F2524" s="12" t="inlineStr">
        <is>
          <t>30cm-5m outdoor-rated precision ultrasonic</t>
        </is>
      </c>
    </row>
    <row r="2525" outlineLevel="1" ht="15" customHeight="1">
      <c r="A2525" s="45" t="inlineStr">
        <is>
          <t>Modality</t>
        </is>
      </c>
      <c r="B2525" s="12" t="inlineStr">
        <is>
          <t>—</t>
        </is>
      </c>
      <c r="E2525" s="45" t="inlineStr">
        <is>
          <t>Interface</t>
        </is>
      </c>
      <c r="F2525" s="12" t="inlineStr">
        <is>
          <t>UART / PWM / Analog</t>
        </is>
      </c>
    </row>
    <row r="2526" outlineLevel="1" ht="15" customHeight="1">
      <c r="A2526" s="45" t="inlineStr">
        <is>
          <t>Supply</t>
        </is>
      </c>
      <c r="B2526" s="12" t="inlineStr">
        <is>
          <t>2.7-5.5V</t>
        </is>
      </c>
      <c r="E2526" s="45" t="inlineStr">
        <is>
          <t>Price</t>
        </is>
      </c>
      <c r="F2526" s="12" t="inlineStr">
        <is>
          <t>$110  ($$$$)</t>
        </is>
      </c>
    </row>
    <row r="2527" outlineLevel="1" ht="15" customHeight="1">
      <c r="A2527" s="45" t="inlineStr">
        <is>
          <t>Difficulty</t>
        </is>
      </c>
      <c r="B2527" s="12" t="inlineStr">
        <is>
          <t>1 — Plug and play — Qwiic/STEMMA cable or 3 wires, library example works first time</t>
        </is>
      </c>
    </row>
    <row r="2528" outlineLevel="1" ht="23" customHeight="1">
      <c r="A2528" s="45" t="inlineStr">
        <is>
          <t>HOW</t>
        </is>
      </c>
      <c r="B2528" s="46" t="inlineStr">
        <is>
          <t>Industrial sealed ultrasonic with internal filtering tuned for rain/snow rejection — the step up when JSN-SR04T data is too noisy to act on.</t>
        </is>
      </c>
    </row>
    <row r="2529" outlineLevel="1" ht="18" customHeight="1">
      <c r="A2529" s="45" t="inlineStr">
        <is>
          <t>COMMON</t>
        </is>
      </c>
      <c r="B2529" s="46" t="inlineStr">
        <is>
          <t>Flood gauges that matter, tank farms, marina tide boards, snow research.</t>
        </is>
      </c>
    </row>
    <row r="2530" outlineLevel="1" ht="23" customHeight="1">
      <c r="A2530" s="45" t="inlineStr">
        <is>
          <t>INVENTION</t>
        </is>
      </c>
      <c r="B2530" s="48" t="inlineStr">
        <is>
          <t>When your data feeds real decisions (flood warnings people trust), the $110 sensor is the cheap option — reliability IS the feature.</t>
        </is>
      </c>
    </row>
    <row r="2531" outlineLevel="1" ht="15" customHeight="1">
      <c r="A2531" s="45" t="inlineStr">
        <is>
          <t>PAIRS</t>
        </is>
      </c>
      <c r="B2531" s="46" t="inlineStr">
        <is>
          <t>LoRaWAN to council dashboards, battery+solar</t>
        </is>
      </c>
    </row>
    <row r="2532" outlineLevel="1" ht="15" customHeight="1">
      <c r="A2532" s="45" t="inlineStr">
        <is>
          <t>KEY</t>
        </is>
      </c>
      <c r="B2532" s="46" t="inlineStr">
        <is>
          <t>1mm resolution, IP67, target-size filtering</t>
        </is>
      </c>
    </row>
    <row r="2533" outlineLevel="1" ht="16" customHeight="1">
      <c r="A2533" s="45" t="inlineStr">
        <is>
          <t>buy</t>
        </is>
      </c>
      <c r="B2533" s="49" t="inlineStr">
        <is>
          <t>MX · DK · MO   |   boards: MaxBotix HRXL series   |   lib: UART/analog read   [High]</t>
        </is>
      </c>
    </row>
    <row r="2535" ht="22" customHeight="1">
      <c r="A2535" s="54" t="inlineStr">
        <is>
          <t>S199</t>
        </is>
      </c>
      <c r="B2535" s="55" t="inlineStr">
        <is>
          <t>MQ-4 methane / natural gas   ·   MQ-4</t>
        </is>
      </c>
    </row>
    <row r="2536" outlineLevel="1" ht="15" customHeight="1">
      <c r="A2536" s="45" t="inlineStr">
        <is>
          <t>Category</t>
        </is>
      </c>
      <c r="B2536" s="12" t="inlineStr">
        <is>
          <t>Gas &amp; VOC › MQ analog (heated)</t>
        </is>
      </c>
      <c r="E2536" s="45" t="inlineStr">
        <is>
          <t>Measures</t>
        </is>
      </c>
      <c r="F2536" s="12" t="inlineStr">
        <is>
          <t>Methane/natural gas 200-10000ppm</t>
        </is>
      </c>
    </row>
    <row r="2537" outlineLevel="1" ht="15" customHeight="1">
      <c r="A2537" s="45" t="inlineStr">
        <is>
          <t>Modality</t>
        </is>
      </c>
      <c r="B2537" s="12" t="inlineStr">
        <is>
          <t>—</t>
        </is>
      </c>
      <c r="E2537" s="45" t="inlineStr">
        <is>
          <t>Interface</t>
        </is>
      </c>
      <c r="F2537" s="12" t="inlineStr">
        <is>
          <t>Analog</t>
        </is>
      </c>
    </row>
    <row r="2538" outlineLevel="1" ht="15" customHeight="1">
      <c r="A2538" s="45" t="inlineStr">
        <is>
          <t>Supply</t>
        </is>
      </c>
      <c r="B2538" s="12" t="inlineStr">
        <is>
          <t>5V</t>
        </is>
      </c>
      <c r="E2538" s="45" t="inlineStr">
        <is>
          <t>Price</t>
        </is>
      </c>
      <c r="F2538" s="12" t="inlineStr">
        <is>
          <t>$2.5  ($)</t>
        </is>
      </c>
    </row>
    <row r="2539" outlineLevel="1" ht="15" customHeight="1">
      <c r="A2539" s="45" t="inlineStr">
        <is>
          <t>Difficulty</t>
        </is>
      </c>
      <c r="B2539" s="12" t="inlineStr">
        <is>
          <t>2 — Easy — breadboard wiring, a well-documented library, no analog thought needed</t>
        </is>
      </c>
    </row>
    <row r="2540" outlineLevel="1" ht="19" customHeight="1">
      <c r="A2540" s="45" t="inlineStr">
        <is>
          <t>HOW</t>
        </is>
      </c>
      <c r="B2540" s="46" t="inlineStr">
        <is>
          <t>Tin-oxide bead doped for CH4 — the kitchen/boiler natural-gas leak watcher of the MQ family.</t>
        </is>
      </c>
    </row>
    <row r="2541" outlineLevel="1" ht="17" customHeight="1">
      <c r="A2541" s="45" t="inlineStr">
        <is>
          <t>COMMON</t>
        </is>
      </c>
      <c r="B2541" s="46" t="inlineStr">
        <is>
          <t>Gas-stove leak nodes, boiler rooms, RV propane lockers (also see MQ-6).</t>
        </is>
      </c>
    </row>
    <row r="2542" outlineLevel="1" ht="22" customHeight="1">
      <c r="A2542" s="45" t="inlineStr">
        <is>
          <t>INVENTION</t>
        </is>
      </c>
      <c r="B2542" s="48" t="inlineStr">
        <is>
          <t>RVs and boats: a $3 sensor under the stove + loud buzzer has a long history of being the difference between incident and anecdote.</t>
        </is>
      </c>
    </row>
    <row r="2543" outlineLevel="1" ht="15" customHeight="1">
      <c r="A2543" s="45" t="inlineStr">
        <is>
          <t>PAIRS</t>
        </is>
      </c>
      <c r="B2543" s="46" t="inlineStr">
        <is>
          <t>12V buzzer relay, solenoid shutoff</t>
        </is>
      </c>
    </row>
    <row r="2544" outlineLevel="1" ht="27" customHeight="1">
      <c r="A2544" s="45" t="inlineStr">
        <is>
          <t>KEY</t>
        </is>
      </c>
      <c r="B2544" s="46" t="inlineStr">
        <is>
          <t>Qualitative; calibrate against a known source for trends. ⚠ NOT a life-safety device — supplement, never replace, a certified alarm. Heated element: keep out of explosive atmospheres.</t>
        </is>
      </c>
    </row>
    <row r="2545" outlineLevel="1" ht="16" customHeight="1">
      <c r="A2545" s="45" t="inlineStr">
        <is>
          <t>buy</t>
        </is>
      </c>
      <c r="B2545" s="49" t="inlineStr">
        <is>
          <t>AE · AMZ · DFR   |   boards: MQ-4 module   |   lib: MQUnifiedsensor   [High]</t>
        </is>
      </c>
    </row>
    <row r="2547" ht="22" customHeight="1">
      <c r="A2547" s="54" t="inlineStr">
        <is>
          <t>S200</t>
        </is>
      </c>
      <c r="B2547" s="55" t="inlineStr">
        <is>
          <t>MQ-6 LPG/propane   ·   MQ-6</t>
        </is>
      </c>
    </row>
    <row r="2548" outlineLevel="1" ht="15" customHeight="1">
      <c r="A2548" s="45" t="inlineStr">
        <is>
          <t>Category</t>
        </is>
      </c>
      <c r="B2548" s="12" t="inlineStr">
        <is>
          <t>Gas &amp; VOC › MQ analog (heated)</t>
        </is>
      </c>
      <c r="E2548" s="45" t="inlineStr">
        <is>
          <t>Measures</t>
        </is>
      </c>
      <c r="F2548" s="12" t="inlineStr">
        <is>
          <t>LPG/propane/isobutane 200-10000ppm</t>
        </is>
      </c>
    </row>
    <row r="2549" outlineLevel="1" ht="15" customHeight="1">
      <c r="A2549" s="45" t="inlineStr">
        <is>
          <t>Modality</t>
        </is>
      </c>
      <c r="B2549" s="12" t="inlineStr">
        <is>
          <t>—</t>
        </is>
      </c>
      <c r="E2549" s="45" t="inlineStr">
        <is>
          <t>Interface</t>
        </is>
      </c>
      <c r="F2549" s="12" t="inlineStr">
        <is>
          <t>Analog</t>
        </is>
      </c>
    </row>
    <row r="2550" outlineLevel="1" ht="15" customHeight="1">
      <c r="A2550" s="45" t="inlineStr">
        <is>
          <t>Supply</t>
        </is>
      </c>
      <c r="B2550" s="12" t="inlineStr">
        <is>
          <t>5V</t>
        </is>
      </c>
      <c r="E2550" s="45" t="inlineStr">
        <is>
          <t>Price</t>
        </is>
      </c>
      <c r="F2550" s="12" t="inlineStr">
        <is>
          <t>$2.5  ($)</t>
        </is>
      </c>
    </row>
    <row r="2551" outlineLevel="1" ht="15" customHeight="1">
      <c r="A2551" s="45" t="inlineStr">
        <is>
          <t>Difficulty</t>
        </is>
      </c>
      <c r="B2551" s="12" t="inlineStr">
        <is>
          <t>2 — Easy — breadboard wiring, a well-documented library, no analog thought needed</t>
        </is>
      </c>
    </row>
    <row r="2552" outlineLevel="1" ht="20" customHeight="1">
      <c r="A2552" s="45" t="inlineStr">
        <is>
          <t>HOW</t>
        </is>
      </c>
      <c r="B2552" s="46" t="inlineStr">
        <is>
          <t>The LPG-tuned MQ — propane sinks, so mount it LOW; most installs get this wrong and sense nothing.</t>
        </is>
      </c>
    </row>
    <row r="2553" outlineLevel="1" ht="23" customHeight="1">
      <c r="A2553" s="45" t="inlineStr">
        <is>
          <t>COMMON</t>
        </is>
      </c>
      <c r="B2553" s="46" t="inlineStr">
        <is>
          <t>Monitoring the ventilated SPACE OUTSIDE an LPG locker (low down — propane sinks), garage and plant-room air. Never inside the locker itself.</t>
        </is>
      </c>
    </row>
    <row r="2554" outlineLevel="1" ht="27" customHeight="1">
      <c r="A2554" s="45" t="inlineStr">
        <is>
          <t>INVENTION</t>
        </is>
      </c>
      <c r="B2554" s="48" t="inlineStr">
        <is>
          <t>Mount it low in the room outside the bottle store: baseline ppm creep over weeks catches a failing regulator a sniff test misses — without putting a 300°C heater inside the explosive volume.</t>
        </is>
      </c>
    </row>
    <row r="2555" outlineLevel="1" ht="15" customHeight="1">
      <c r="A2555" s="45" t="inlineStr">
        <is>
          <t>PAIRS</t>
        </is>
      </c>
      <c r="B2555" s="46" t="inlineStr">
        <is>
          <t>Loud siren + DC vent fan</t>
        </is>
      </c>
    </row>
    <row r="2556" outlineLevel="1" ht="24" customHeight="1">
      <c r="A2556" s="45" t="inlineStr">
        <is>
          <t>KEY</t>
        </is>
      </c>
      <c r="B2556" s="46" t="inlineStr">
        <is>
          <t>Mount near floor level — LPG is heavier than air and pools low. ⚠ NOT a life-safety device. Heated element: keep out of explosive atmospheres (see Uses).</t>
        </is>
      </c>
    </row>
    <row r="2557" outlineLevel="1" ht="16" customHeight="1">
      <c r="A2557" s="45" t="inlineStr">
        <is>
          <t>buy</t>
        </is>
      </c>
      <c r="B2557" s="49" t="inlineStr">
        <is>
          <t>AE · AMZ · DFR   |   boards: MQ-6 module   |   lib: MQUnifiedsensor   [High]</t>
        </is>
      </c>
    </row>
    <row r="2559" ht="22" customHeight="1">
      <c r="A2559" s="54" t="inlineStr">
        <is>
          <t>S201</t>
        </is>
      </c>
      <c r="B2559" s="55" t="inlineStr">
        <is>
          <t>MQ-131 ozone   ·   MQ-131</t>
        </is>
      </c>
    </row>
    <row r="2560" outlineLevel="1" ht="15" customHeight="1">
      <c r="A2560" s="45" t="inlineStr">
        <is>
          <t>Category</t>
        </is>
      </c>
      <c r="B2560" s="12" t="inlineStr">
        <is>
          <t>Gas &amp; VOC › MQ analog (heated)</t>
        </is>
      </c>
      <c r="E2560" s="45" t="inlineStr">
        <is>
          <t>Measures</t>
        </is>
      </c>
      <c r="F2560" s="12" t="inlineStr">
        <is>
          <t>Ozone 10ppb-2ppm</t>
        </is>
      </c>
    </row>
    <row r="2561" outlineLevel="1" ht="15" customHeight="1">
      <c r="A2561" s="45" t="inlineStr">
        <is>
          <t>Modality</t>
        </is>
      </c>
      <c r="B2561" s="12" t="inlineStr">
        <is>
          <t>—</t>
        </is>
      </c>
      <c r="E2561" s="45" t="inlineStr">
        <is>
          <t>Interface</t>
        </is>
      </c>
      <c r="F2561" s="12" t="inlineStr">
        <is>
          <t>Analog</t>
        </is>
      </c>
    </row>
    <row r="2562" outlineLevel="1" ht="15" customHeight="1">
      <c r="A2562" s="45" t="inlineStr">
        <is>
          <t>Supply</t>
        </is>
      </c>
      <c r="B2562" s="12" t="inlineStr">
        <is>
          <t>5V</t>
        </is>
      </c>
      <c r="E2562" s="45" t="inlineStr">
        <is>
          <t>Price</t>
        </is>
      </c>
      <c r="F2562" s="12" t="inlineStr">
        <is>
          <t>$30  ($$$)</t>
        </is>
      </c>
    </row>
    <row r="2563" outlineLevel="1" ht="15" customHeight="1">
      <c r="A2563" s="45" t="inlineStr">
        <is>
          <t>Difficulty</t>
        </is>
      </c>
      <c r="B2563" s="12" t="inlineStr">
        <is>
          <t>3 — Some skill — calibration, level shifting, timing, or datasheet reading required</t>
        </is>
      </c>
    </row>
    <row r="2564" outlineLevel="1" ht="22" customHeight="1">
      <c r="A2564" s="45" t="inlineStr">
        <is>
          <t>HOW</t>
        </is>
      </c>
      <c r="B2564" s="46" t="inlineStr">
        <is>
          <t>MOX element responsive to O3's strong oxidising bite — for watching ozone from purifiers, laser printers and summer smog.</t>
        </is>
      </c>
    </row>
    <row r="2565" outlineLevel="1" ht="16" customHeight="1">
      <c r="A2565" s="45" t="inlineStr">
        <is>
          <t>COMMON</t>
        </is>
      </c>
      <c r="B2565" s="46" t="inlineStr">
        <is>
          <t>Purifier ozone audits, print-room air, smog-day tracking.</t>
        </is>
      </c>
    </row>
    <row r="2566" outlineLevel="1" ht="21" customHeight="1">
      <c r="A2566" s="45" t="inlineStr">
        <is>
          <t>INVENTION</t>
        </is>
      </c>
      <c r="B2566" s="48" t="inlineStr">
        <is>
          <t>The 'ionizer receipts' project: many air ionizers emit ozone above safe levels — measure, publish, name names.</t>
        </is>
      </c>
    </row>
    <row r="2567" outlineLevel="1" ht="15" customHeight="1">
      <c r="A2567" s="45" t="inlineStr">
        <is>
          <t>PAIRS</t>
        </is>
      </c>
      <c r="B2567" s="46" t="inlineStr">
        <is>
          <t>PM sensor (purifier context), data blog</t>
        </is>
      </c>
    </row>
    <row r="2568" outlineLevel="1" ht="15" customHeight="1">
      <c r="A2568" s="45" t="inlineStr">
        <is>
          <t>KEY</t>
        </is>
      </c>
      <c r="B2568" s="46" t="inlineStr">
        <is>
          <t>Cross-sensitive to NOx; trend instrument</t>
        </is>
      </c>
    </row>
    <row r="2569" outlineLevel="1" ht="16" customHeight="1">
      <c r="A2569" s="45" t="inlineStr">
        <is>
          <t>buy</t>
        </is>
      </c>
      <c r="B2569" s="49" t="inlineStr">
        <is>
          <t>AE · DFR · DK   |   boards: MQ-131 module   |   lib: MQUnifiedsensor   [High]</t>
        </is>
      </c>
    </row>
    <row r="2571" ht="22" customHeight="1">
      <c r="A2571" s="54" t="inlineStr">
        <is>
          <t>S202</t>
        </is>
      </c>
      <c r="B2571" s="55" t="inlineStr">
        <is>
          <t>AGS02MA TVOC budget   ·   AGS02MA</t>
        </is>
      </c>
    </row>
    <row r="2572" outlineLevel="1" ht="15" customHeight="1">
      <c r="A2572" s="45" t="inlineStr">
        <is>
          <t>Category</t>
        </is>
      </c>
      <c r="B2572" s="12" t="inlineStr">
        <is>
          <t>Gas &amp; VOC › MEMS VOC</t>
        </is>
      </c>
      <c r="E2572" s="45" t="inlineStr">
        <is>
          <t>Measures</t>
        </is>
      </c>
      <c r="F2572" s="12" t="inlineStr">
        <is>
          <t>TVOC ppb on a tiny cheap board</t>
        </is>
      </c>
    </row>
    <row r="2573" outlineLevel="1" ht="15" customHeight="1">
      <c r="A2573" s="45" t="inlineStr">
        <is>
          <t>Modality</t>
        </is>
      </c>
      <c r="B2573" s="12" t="inlineStr">
        <is>
          <t>—</t>
        </is>
      </c>
      <c r="E2573" s="45" t="inlineStr">
        <is>
          <t>Interface</t>
        </is>
      </c>
      <c r="F2573" s="12" t="inlineStr">
        <is>
          <t>I2C</t>
        </is>
      </c>
    </row>
    <row r="2574" outlineLevel="1" ht="15" customHeight="1">
      <c r="A2574" s="45" t="inlineStr">
        <is>
          <t>Supply</t>
        </is>
      </c>
      <c r="B2574" s="12" t="inlineStr">
        <is>
          <t>3.3-5V</t>
        </is>
      </c>
      <c r="E2574" s="45" t="inlineStr">
        <is>
          <t>Price</t>
        </is>
      </c>
      <c r="F2574" s="12" t="inlineStr">
        <is>
          <t>$4  ($)</t>
        </is>
      </c>
    </row>
    <row r="2575" outlineLevel="1" ht="15" customHeight="1">
      <c r="A2575" s="45" t="inlineStr">
        <is>
          <t>Difficulty</t>
        </is>
      </c>
      <c r="B2575" s="12" t="inlineStr">
        <is>
          <t>2 — Easy — breadboard wiring, a well-documented library, no analog thought needed</t>
        </is>
      </c>
    </row>
    <row r="2576" outlineLevel="1" ht="19" customHeight="1">
      <c r="A2576" s="45" t="inlineStr">
        <is>
          <t>HOW</t>
        </is>
      </c>
      <c r="B2576" s="46" t="inlineStr">
        <is>
          <t>A MEMS MOX VOC sensor with I2C at a pocket-money price — the budget answer to SGP40 for fleets.</t>
        </is>
      </c>
    </row>
    <row r="2577" outlineLevel="1" ht="18" customHeight="1">
      <c r="A2577" s="45" t="inlineStr">
        <is>
          <t>COMMON</t>
        </is>
      </c>
      <c r="B2577" s="46" t="inlineStr">
        <is>
          <t>Many-room VOC fleets, wardrobe/shoe-cabinet odor watch, glue/paint cure tracking.</t>
        </is>
      </c>
    </row>
    <row r="2578" outlineLevel="1" ht="23" customHeight="1">
      <c r="A2578" s="45" t="inlineStr">
        <is>
          <t>INVENTION</t>
        </is>
      </c>
      <c r="B2578" s="48" t="inlineStr">
        <is>
          <t>Epoxy/paint cure-state telemetry: VOC decay curve says when the workshop is safe to re-enter, per actual chemistry not the tin's guess.</t>
        </is>
      </c>
    </row>
    <row r="2579" outlineLevel="1" ht="15" customHeight="1">
      <c r="A2579" s="45" t="inlineStr">
        <is>
          <t>PAIRS</t>
        </is>
      </c>
      <c r="B2579" s="46" t="inlineStr">
        <is>
          <t>Workshop fan automation</t>
        </is>
      </c>
    </row>
    <row r="2580" outlineLevel="1" ht="15" customHeight="1">
      <c r="A2580" s="45" t="inlineStr">
        <is>
          <t>KEY</t>
        </is>
      </c>
      <c r="B2580" s="46" t="inlineStr">
        <is>
          <t>Slow I2C clock requirement trips people up</t>
        </is>
      </c>
    </row>
    <row r="2581" outlineLevel="1" ht="16" customHeight="1">
      <c r="A2581" s="45" t="inlineStr">
        <is>
          <t>buy</t>
        </is>
      </c>
      <c r="B2581" s="49" t="inlineStr">
        <is>
          <t>AE · AF   |   boards: ASAIR module, Adafruit 5593   |   lib: Adafruit_AGS02MA   [High]</t>
        </is>
      </c>
    </row>
    <row r="2583" ht="22" customHeight="1">
      <c r="A2583" s="54" t="inlineStr">
        <is>
          <t>S203</t>
        </is>
      </c>
      <c r="B2583" s="55" t="inlineStr">
        <is>
          <t>Panasonic EKMC PIR (quality)   ·   EKMC1603111</t>
        </is>
      </c>
    </row>
    <row r="2584" outlineLevel="1" ht="15" customHeight="1">
      <c r="A2584" s="45" t="inlineStr">
        <is>
          <t>Category</t>
        </is>
      </c>
      <c r="B2584" s="12" t="inlineStr">
        <is>
          <t>Presence &amp; Occupancy › PIR (passive infrared)</t>
        </is>
      </c>
      <c r="E2584" s="45" t="inlineStr">
        <is>
          <t>Measures</t>
        </is>
      </c>
      <c r="F2584" s="12" t="inlineStr">
        <is>
          <t>Motion, 12m, engineered optics &amp; specs</t>
        </is>
      </c>
    </row>
    <row r="2585" outlineLevel="1" ht="15" customHeight="1">
      <c r="A2585" s="45" t="inlineStr">
        <is>
          <t>Modality</t>
        </is>
      </c>
      <c r="B2585" s="12" t="inlineStr">
        <is>
          <t>—</t>
        </is>
      </c>
      <c r="E2585" s="45" t="inlineStr">
        <is>
          <t>Interface</t>
        </is>
      </c>
      <c r="F2585" s="12" t="inlineStr">
        <is>
          <t>Digital</t>
        </is>
      </c>
    </row>
    <row r="2586" outlineLevel="1" ht="15" customHeight="1">
      <c r="A2586" s="45" t="inlineStr">
        <is>
          <t>Supply</t>
        </is>
      </c>
      <c r="B2586" s="12" t="inlineStr">
        <is>
          <t>3-6V</t>
        </is>
      </c>
      <c r="E2586" s="45" t="inlineStr">
        <is>
          <t>Price</t>
        </is>
      </c>
      <c r="F2586" s="12" t="inlineStr">
        <is>
          <t>$12  ($$)</t>
        </is>
      </c>
    </row>
    <row r="2587" outlineLevel="1" ht="15" customHeight="1">
      <c r="A2587" s="45" t="inlineStr">
        <is>
          <t>Difficulty</t>
        </is>
      </c>
      <c r="B2587" s="12" t="inlineStr">
        <is>
          <t>1 — Plug and play — Qwiic/STEMMA cable or 3 wires, library example works first time</t>
        </is>
      </c>
    </row>
    <row r="2588" outlineLevel="1" ht="24" customHeight="1">
      <c r="A2588" s="45" t="inlineStr">
        <is>
          <t>HOW</t>
        </is>
      </c>
      <c r="B2588" s="46" t="inlineStr">
        <is>
          <t>The PIR you design INTO products: characterised detection zones, low false triggers, datasheet you can trust — versus the $1.50 lottery modules.</t>
        </is>
      </c>
    </row>
    <row r="2589" outlineLevel="1" ht="16" customHeight="1">
      <c r="A2589" s="45" t="inlineStr">
        <is>
          <t>COMMON</t>
        </is>
      </c>
      <c r="B2589" s="46" t="inlineStr">
        <is>
          <t>Products, reliable security, long-battery motion nodes.</t>
        </is>
      </c>
    </row>
    <row r="2590" outlineLevel="1" ht="23" customHeight="1">
      <c r="A2590" s="45" t="inlineStr">
        <is>
          <t>INVENTION</t>
        </is>
      </c>
      <c r="B2590" s="48" t="inlineStr">
        <is>
          <t>The upgrade lesson: when your motion light misfires nightly, swapping the $1.50 PIR for this fixes it — component quality is a real variable.</t>
        </is>
      </c>
    </row>
    <row r="2591" outlineLevel="1" ht="15" customHeight="1">
      <c r="A2591" s="45" t="inlineStr">
        <is>
          <t>PAIRS</t>
        </is>
      </c>
      <c r="B2591" s="46" t="inlineStr">
        <is>
          <t>ESP32-C3 battery node, LD2410 for presence-hold</t>
        </is>
      </c>
    </row>
    <row r="2592" outlineLevel="1" ht="15" customHeight="1">
      <c r="A2592" s="45" t="inlineStr">
        <is>
          <t>KEY</t>
        </is>
      </c>
      <c r="B2592" s="46" t="inlineStr">
        <is>
          <t>12m, 102° x 92°, white/black lens options</t>
        </is>
      </c>
    </row>
    <row r="2593" outlineLevel="1" ht="16" customHeight="1">
      <c r="A2593" s="45" t="inlineStr">
        <is>
          <t>buy</t>
        </is>
      </c>
      <c r="B2593" s="49" t="inlineStr">
        <is>
          <t>DK · MO   |   boards: Bare 3-pin sensor   |   lib: digitalRead   [High]</t>
        </is>
      </c>
    </row>
    <row r="2595" ht="22" customHeight="1">
      <c r="A2595" s="54" t="inlineStr">
        <is>
          <t>S204</t>
        </is>
      </c>
      <c r="B2595" s="55" t="inlineStr">
        <is>
          <t>LD1125H 24GHz respiration radar   ·   HLK-LD1125H</t>
        </is>
      </c>
    </row>
    <row r="2596" outlineLevel="1" ht="15" customHeight="1">
      <c r="A2596" s="45" t="inlineStr">
        <is>
          <t>Category</t>
        </is>
      </c>
      <c r="B2596" s="12" t="inlineStr">
        <is>
          <t>Presence &amp; Occupancy › mmWave radar</t>
        </is>
      </c>
      <c r="E2596" s="45" t="inlineStr">
        <is>
          <t>Measures</t>
        </is>
      </c>
      <c r="F2596" s="12" t="inlineStr">
        <is>
          <t>Presence + breathing micro-motion to 9m (long range)</t>
        </is>
      </c>
    </row>
    <row r="2597" outlineLevel="1" ht="15" customHeight="1">
      <c r="A2597" s="45" t="inlineStr">
        <is>
          <t>Modality</t>
        </is>
      </c>
      <c r="B2597" s="12" t="inlineStr">
        <is>
          <t>—</t>
        </is>
      </c>
      <c r="E2597" s="45" t="inlineStr">
        <is>
          <t>Interface</t>
        </is>
      </c>
      <c r="F2597" s="12" t="inlineStr">
        <is>
          <t>UART</t>
        </is>
      </c>
    </row>
    <row r="2598" outlineLevel="1" ht="15" customHeight="1">
      <c r="A2598" s="45" t="inlineStr">
        <is>
          <t>Supply</t>
        </is>
      </c>
      <c r="B2598" s="12" t="inlineStr">
        <is>
          <t>3.3-5V</t>
        </is>
      </c>
      <c r="E2598" s="45" t="inlineStr">
        <is>
          <t>Price</t>
        </is>
      </c>
      <c r="F2598" s="12" t="inlineStr">
        <is>
          <t>$9  ($$)</t>
        </is>
      </c>
    </row>
    <row r="2599" outlineLevel="1" ht="15" customHeight="1">
      <c r="A2599" s="45" t="inlineStr">
        <is>
          <t>Difficulty</t>
        </is>
      </c>
      <c r="B2599" s="12" t="inlineStr">
        <is>
          <t>2 — Easy — breadboard wiring, a well-documented library, no analog thought needed</t>
        </is>
      </c>
    </row>
    <row r="2600" outlineLevel="1" ht="22" customHeight="1">
      <c r="A2600" s="45" t="inlineStr">
        <is>
          <t>HOW</t>
        </is>
      </c>
      <c r="B2600" s="46" t="inlineStr">
        <is>
          <t>Long-range 24GHz module reporting motion/occupancy/micromotion classes over UART — the budget choice for big rooms and barns.</t>
        </is>
      </c>
    </row>
    <row r="2601" outlineLevel="1" ht="17" customHeight="1">
      <c r="A2601" s="45" t="inlineStr">
        <is>
          <t>COMMON</t>
        </is>
      </c>
      <c r="B2601" s="46" t="inlineStr">
        <is>
          <t>Large-room presence, garage/workshop occupancy, hallway logic.</t>
        </is>
      </c>
    </row>
    <row r="2602" outlineLevel="1" ht="21" customHeight="1">
      <c r="A2602" s="45" t="inlineStr">
        <is>
          <t>INVENTION</t>
        </is>
      </c>
      <c r="B2602" s="48" t="inlineStr">
        <is>
          <t>Barn-wide animal activity index overnight: restlessness data flags calving/colic hours before a 2am check would.</t>
        </is>
      </c>
    </row>
    <row r="2603" outlineLevel="1" ht="15" customHeight="1">
      <c r="A2603" s="45" t="inlineStr">
        <is>
          <t>PAIRS</t>
        </is>
      </c>
      <c r="B2603" s="46" t="inlineStr">
        <is>
          <t>LoRa to farmhouse, IR floodlight trigger</t>
        </is>
      </c>
    </row>
    <row r="2604" outlineLevel="1" ht="15" customHeight="1">
      <c r="A2604" s="45" t="inlineStr">
        <is>
          <t>KEY</t>
        </is>
      </c>
      <c r="B2604" s="46" t="inlineStr">
        <is>
          <t>9m presence, sensitivity zones via commands</t>
        </is>
      </c>
    </row>
    <row r="2605" outlineLevel="1" ht="16" customHeight="1">
      <c r="A2605" s="45" t="inlineStr">
        <is>
          <t>buy</t>
        </is>
      </c>
      <c r="B2605" s="49" t="inlineStr">
        <is>
          <t>AE   |   boards: HLK-LD1125H   |   lib: UART text protocol (easy)   [High]</t>
        </is>
      </c>
    </row>
    <row r="2607" ht="22" customHeight="1">
      <c r="A2607" s="54" t="inlineStr">
        <is>
          <t>S205</t>
        </is>
      </c>
      <c r="B2607" s="55" t="inlineStr">
        <is>
          <t>BMI270 wearable IMU   ·   BMI270</t>
        </is>
      </c>
    </row>
    <row r="2608" outlineLevel="1" ht="15" customHeight="1">
      <c r="A2608" s="45" t="inlineStr">
        <is>
          <t>Category</t>
        </is>
      </c>
      <c r="B2608" s="12" t="inlineStr">
        <is>
          <t>Motion &amp; Vibration › 6-axis accel+gyro</t>
        </is>
      </c>
      <c r="E2608" s="45" t="inlineStr">
        <is>
          <t>Measures</t>
        </is>
      </c>
      <c r="F2608" s="12" t="inlineStr">
        <is>
          <t>6-axis motion tuned for wearables</t>
        </is>
      </c>
    </row>
    <row r="2609" outlineLevel="1" ht="15" customHeight="1">
      <c r="A2609" s="45" t="inlineStr">
        <is>
          <t>Modality</t>
        </is>
      </c>
      <c r="B2609" s="12" t="inlineStr">
        <is>
          <t>—</t>
        </is>
      </c>
      <c r="E2609" s="45" t="inlineStr">
        <is>
          <t>Interface</t>
        </is>
      </c>
      <c r="F2609" s="12" t="inlineStr">
        <is>
          <t>I2C / SPI</t>
        </is>
      </c>
    </row>
    <row r="2610" outlineLevel="1" ht="15" customHeight="1">
      <c r="A2610" s="45" t="inlineStr">
        <is>
          <t>Supply</t>
        </is>
      </c>
      <c r="B2610" s="12" t="inlineStr">
        <is>
          <t>1.7-3.6V</t>
        </is>
      </c>
      <c r="E2610" s="45" t="inlineStr">
        <is>
          <t>Price</t>
        </is>
      </c>
      <c r="F2610" s="12" t="inlineStr">
        <is>
          <t>$8  ($$)</t>
        </is>
      </c>
    </row>
    <row r="2611" outlineLevel="1" ht="15" customHeight="1">
      <c r="A2611" s="45" t="inlineStr">
        <is>
          <t>Difficulty</t>
        </is>
      </c>
      <c r="B2611" s="12" t="inlineStr">
        <is>
          <t>2 — Easy — breadboard wiring, a well-documented library, no analog thought needed</t>
        </is>
      </c>
    </row>
    <row r="2612" outlineLevel="1" ht="23" customHeight="1">
      <c r="A2612" s="45" t="inlineStr">
        <is>
          <t>HOW</t>
        </is>
      </c>
      <c r="B2612" s="46" t="inlineStr">
        <is>
          <t>Bosch's fitness-band IMU: built-in gesture/activity recognisers and superb µA budgets — the chip in half the smartwatches you've met.</t>
        </is>
      </c>
    </row>
    <row r="2613" outlineLevel="1" ht="17" customHeight="1">
      <c r="A2613" s="45" t="inlineStr">
        <is>
          <t>COMMON</t>
        </is>
      </c>
      <c r="B2613" s="46" t="inlineStr">
        <is>
          <t>Smart watches/bands, gesture wands, sleep movement tracking.</t>
        </is>
      </c>
    </row>
    <row r="2614" outlineLevel="1" ht="23" customHeight="1">
      <c r="A2614" s="45" t="inlineStr">
        <is>
          <t>INVENTION</t>
        </is>
      </c>
      <c r="B2614" s="48" t="inlineStr">
        <is>
          <t>A 'shake-to-log' field notebook: each distinct wrist gesture files a different observation type — hands-free data entry for surveys.</t>
        </is>
      </c>
    </row>
    <row r="2615" outlineLevel="1" ht="15" customHeight="1">
      <c r="A2615" s="45" t="inlineStr">
        <is>
          <t>PAIRS</t>
        </is>
      </c>
      <c r="B2615" s="46" t="inlineStr">
        <is>
          <t>ESP32-C3 wearable, BLE sync, haptic confirm</t>
        </is>
      </c>
    </row>
    <row r="2616" outlineLevel="1" ht="16" customHeight="1">
      <c r="A2616" s="45" t="inlineStr">
        <is>
          <t>KEY</t>
        </is>
      </c>
      <c r="B2616" s="46" t="inlineStr">
        <is>
          <t>Wrist gestures, step counter, activity engine on-chip</t>
        </is>
      </c>
    </row>
    <row r="2617" outlineLevel="1" ht="16" customHeight="1">
      <c r="A2617" s="45" t="inlineStr">
        <is>
          <t>buy</t>
        </is>
      </c>
      <c r="B2617" s="49" t="inlineStr">
        <is>
          <t>SF · DK · MO   |   boards: SparkFun BMI270 Qwiic   |   lib: SparkFun BMI270   [High]</t>
        </is>
      </c>
    </row>
    <row r="2619" ht="22" customHeight="1">
      <c r="A2619" s="54" t="inlineStr">
        <is>
          <t>S206</t>
        </is>
      </c>
      <c r="B2619" s="55" t="inlineStr">
        <is>
          <t>MPU-9250 9-axis (legacy)   ·   MPU-9250</t>
        </is>
      </c>
    </row>
    <row r="2620" outlineLevel="1" ht="15" customHeight="1">
      <c r="A2620" s="45" t="inlineStr">
        <is>
          <t>Category</t>
        </is>
      </c>
      <c r="B2620" s="12" t="inlineStr">
        <is>
          <t>Motion &amp; Vibration › 9-axis (raw)</t>
        </is>
      </c>
      <c r="E2620" s="45" t="inlineStr">
        <is>
          <t>Measures</t>
        </is>
      </c>
      <c r="F2620" s="12" t="inlineStr">
        <is>
          <t>Accel + gyro + magnetometer, the tutorial classic</t>
        </is>
      </c>
    </row>
    <row r="2621" outlineLevel="1" ht="15" customHeight="1">
      <c r="A2621" s="45" t="inlineStr">
        <is>
          <t>Modality</t>
        </is>
      </c>
      <c r="B2621" s="12" t="inlineStr">
        <is>
          <t>—</t>
        </is>
      </c>
      <c r="E2621" s="45" t="inlineStr">
        <is>
          <t>Interface</t>
        </is>
      </c>
      <c r="F2621" s="12" t="inlineStr">
        <is>
          <t>I2C / SPI</t>
        </is>
      </c>
    </row>
    <row r="2622" outlineLevel="1" ht="15" customHeight="1">
      <c r="A2622" s="45" t="inlineStr">
        <is>
          <t>Supply</t>
        </is>
      </c>
      <c r="B2622" s="12" t="inlineStr">
        <is>
          <t>2.4-3.6V</t>
        </is>
      </c>
      <c r="E2622" s="45" t="inlineStr">
        <is>
          <t>Price</t>
        </is>
      </c>
      <c r="F2622" s="12" t="inlineStr">
        <is>
          <t>$8  ($$)</t>
        </is>
      </c>
    </row>
    <row r="2623" outlineLevel="1" ht="15" customHeight="1">
      <c r="A2623" s="45" t="inlineStr">
        <is>
          <t>Difficulty</t>
        </is>
      </c>
      <c r="B2623" s="12" t="inlineStr">
        <is>
          <t>3 — Some skill — calibration, level shifting, timing, or datasheet reading required</t>
        </is>
      </c>
    </row>
    <row r="2624" outlineLevel="1" ht="23" customHeight="1">
      <c r="A2624" s="45" t="inlineStr">
        <is>
          <t>HOW</t>
        </is>
      </c>
      <c r="B2624" s="46" t="inlineStr">
        <is>
          <t>The discontinued-but-everywhere 9-DOF chip — countless guides, libraries and clone boards keep it relevant for learning fusion math.</t>
        </is>
      </c>
    </row>
    <row r="2625" outlineLevel="1" ht="17" customHeight="1">
      <c r="A2625" s="45" t="inlineStr">
        <is>
          <t>COMMON</t>
        </is>
      </c>
      <c r="B2625" s="46" t="inlineStr">
        <is>
          <t>Learning AHRS/fusion, drone builds from older guides, head trackers.</t>
        </is>
      </c>
    </row>
    <row r="2626" outlineLevel="1" ht="20" customHeight="1">
      <c r="A2626" s="45" t="inlineStr">
        <is>
          <t>INVENTION</t>
        </is>
      </c>
      <c r="B2626" s="48" t="inlineStr">
        <is>
          <t>An OpenTrack head-tracker for flight sims: 9-DOF on a cap brim, UDP to PC — sim immersion for $10.</t>
        </is>
      </c>
    </row>
    <row r="2627" outlineLevel="1" ht="15" customHeight="1">
      <c r="A2627" s="45" t="inlineStr">
        <is>
          <t>PAIRS</t>
        </is>
      </c>
      <c r="B2627" s="46" t="inlineStr">
        <is>
          <t>Wi-Fi UDP OpenTrack protocol, 3D-printed clip</t>
        </is>
      </c>
    </row>
    <row r="2628" outlineLevel="1" ht="15" customHeight="1">
      <c r="A2628" s="45" t="inlineStr">
        <is>
          <t>KEY</t>
        </is>
      </c>
      <c r="B2628" s="46" t="inlineStr">
        <is>
          <t>Watch for fake/remarked chips on cheap boards</t>
        </is>
      </c>
    </row>
    <row r="2629" outlineLevel="1" ht="16" customHeight="1">
      <c r="A2629" s="45" t="inlineStr">
        <is>
          <t>buy</t>
        </is>
      </c>
      <c r="B2629" s="49" t="inlineStr">
        <is>
          <t>AE · AMZ   |   boards: GY-9250   |   lib: Bolder Flight MPU9250, Madgwick   [High]</t>
        </is>
      </c>
    </row>
    <row r="2631" ht="22" customHeight="1">
      <c r="A2631" s="54" t="inlineStr">
        <is>
          <t>S207</t>
        </is>
      </c>
      <c r="B2631" s="55" t="inlineStr">
        <is>
          <t>KX132 low-power accel   ·   KX132-1211</t>
        </is>
      </c>
    </row>
    <row r="2632" outlineLevel="1" ht="15" customHeight="1">
      <c r="A2632" s="45" t="inlineStr">
        <is>
          <t>Category</t>
        </is>
      </c>
      <c r="B2632" s="12" t="inlineStr">
        <is>
          <t>Motion &amp; Vibration › 3-axis accel</t>
        </is>
      </c>
      <c r="E2632" s="45" t="inlineStr">
        <is>
          <t>Measures</t>
        </is>
      </c>
      <c r="F2632" s="12" t="inlineStr">
        <is>
          <t>±2-16g with rich engine + tiny current</t>
        </is>
      </c>
    </row>
    <row r="2633" outlineLevel="1" ht="15" customHeight="1">
      <c r="A2633" s="45" t="inlineStr">
        <is>
          <t>Modality</t>
        </is>
      </c>
      <c r="B2633" s="12" t="inlineStr">
        <is>
          <t>—</t>
        </is>
      </c>
      <c r="E2633" s="45" t="inlineStr">
        <is>
          <t>Interface</t>
        </is>
      </c>
      <c r="F2633" s="12" t="inlineStr">
        <is>
          <t>I2C / SPI</t>
        </is>
      </c>
    </row>
    <row r="2634" outlineLevel="1" ht="15" customHeight="1">
      <c r="A2634" s="45" t="inlineStr">
        <is>
          <t>Supply</t>
        </is>
      </c>
      <c r="B2634" s="12" t="inlineStr">
        <is>
          <t>1.7-3.6V</t>
        </is>
      </c>
      <c r="E2634" s="45" t="inlineStr">
        <is>
          <t>Price</t>
        </is>
      </c>
      <c r="F2634" s="12" t="inlineStr">
        <is>
          <t>$6  ($$)</t>
        </is>
      </c>
    </row>
    <row r="2635" outlineLevel="1" ht="15" customHeight="1">
      <c r="A2635" s="45" t="inlineStr">
        <is>
          <t>Difficulty</t>
        </is>
      </c>
      <c r="B2635" s="12" t="inlineStr">
        <is>
          <t>2 — Easy — breadboard wiring, a well-documented library, no analog thought needed</t>
        </is>
      </c>
    </row>
    <row r="2636" outlineLevel="1" ht="22" customHeight="1">
      <c r="A2636" s="45" t="inlineStr">
        <is>
          <t>HOW</t>
        </is>
      </c>
      <c r="B2636" s="46" t="inlineStr">
        <is>
          <t>Kionix accel with onboard freefall/tap/orientation engines and buffer — strong choice for coin-cell impact and activity loggers.</t>
        </is>
      </c>
    </row>
    <row r="2637" outlineLevel="1" ht="18" customHeight="1">
      <c r="A2637" s="45" t="inlineStr">
        <is>
          <t>COMMON</t>
        </is>
      </c>
      <c r="B2637" s="46" t="inlineStr">
        <is>
          <t>Vibration spectra (high ODR!), shipment loggers, wake-on-motion anything.</t>
        </is>
      </c>
    </row>
    <row r="2638" outlineLevel="1" ht="22" customHeight="1">
      <c r="A2638" s="45" t="inlineStr">
        <is>
          <t>INVENTION</t>
        </is>
      </c>
      <c r="B2638" s="48" t="inlineStr">
        <is>
          <t>25kHz sampling turns it into a poor-man's vibration analyser: FFT bearing signatures on machines — predictive maintenance for $6.</t>
        </is>
      </c>
    </row>
    <row r="2639" outlineLevel="1" ht="15" customHeight="1">
      <c r="A2639" s="45" t="inlineStr">
        <is>
          <t>PAIRS</t>
        </is>
      </c>
      <c r="B2639" s="46" t="inlineStr">
        <is>
          <t>ESP32-S3 FFT, MQTT spectrum snapshots</t>
        </is>
      </c>
    </row>
    <row r="2640" outlineLevel="1" ht="15" customHeight="1">
      <c r="A2640" s="45" t="inlineStr">
        <is>
          <t>KEY</t>
        </is>
      </c>
      <c r="B2640" s="46" t="inlineStr">
        <is>
          <t>Up to 25.6kHz ODR for vibration work</t>
        </is>
      </c>
    </row>
    <row r="2641" outlineLevel="1" ht="16" customHeight="1">
      <c r="A2641" s="45" t="inlineStr">
        <is>
          <t>buy</t>
        </is>
      </c>
      <c r="B2641" s="49" t="inlineStr">
        <is>
          <t>SF · DK · MO   |   boards: SparkFun KX132 Qwiic   |   lib: SparkFun KX13x   [High]</t>
        </is>
      </c>
    </row>
    <row r="2643" ht="22" customHeight="1">
      <c r="A2643" s="54" t="inlineStr">
        <is>
          <t>S208</t>
        </is>
      </c>
      <c r="B2643" s="55" t="inlineStr">
        <is>
          <t>MAX4466 adjustable mic amp   ·   MAX4466</t>
        </is>
      </c>
    </row>
    <row r="2644" outlineLevel="1" ht="15" customHeight="1">
      <c r="A2644" s="45" t="inlineStr">
        <is>
          <t>Category</t>
        </is>
      </c>
      <c r="B2644" s="12" t="inlineStr">
        <is>
          <t>Sound &amp; Audio › Analog mic</t>
        </is>
      </c>
      <c r="E2644" s="45" t="inlineStr">
        <is>
          <t>Measures</t>
        </is>
      </c>
      <c r="F2644" s="12" t="inlineStr">
        <is>
          <t>Audio with manual gain trim</t>
        </is>
      </c>
    </row>
    <row r="2645" outlineLevel="1" ht="15" customHeight="1">
      <c r="A2645" s="45" t="inlineStr">
        <is>
          <t>Modality</t>
        </is>
      </c>
      <c r="B2645" s="12" t="inlineStr">
        <is>
          <t>—</t>
        </is>
      </c>
      <c r="E2645" s="45" t="inlineStr">
        <is>
          <t>Interface</t>
        </is>
      </c>
      <c r="F2645" s="12" t="inlineStr">
        <is>
          <t>Analog</t>
        </is>
      </c>
    </row>
    <row r="2646" outlineLevel="1" ht="15" customHeight="1">
      <c r="A2646" s="45" t="inlineStr">
        <is>
          <t>Supply</t>
        </is>
      </c>
      <c r="B2646" s="12" t="inlineStr">
        <is>
          <t>2.4-5.5V</t>
        </is>
      </c>
      <c r="E2646" s="45" t="inlineStr">
        <is>
          <t>Price</t>
        </is>
      </c>
      <c r="F2646" s="12" t="inlineStr">
        <is>
          <t>$6  ($$)</t>
        </is>
      </c>
    </row>
    <row r="2647" outlineLevel="1" ht="15" customHeight="1">
      <c r="A2647" s="45" t="inlineStr">
        <is>
          <t>Difficulty</t>
        </is>
      </c>
      <c r="B2647" s="12" t="inlineStr">
        <is>
          <t>1 — Plug and play — Qwiic/STEMMA cable or 3 wires, library example works first time</t>
        </is>
      </c>
    </row>
    <row r="2648" outlineLevel="1" ht="22" customHeight="1">
      <c r="A2648" s="45" t="inlineStr">
        <is>
          <t>HOW</t>
        </is>
      </c>
      <c r="B2648" s="46" t="inlineStr">
        <is>
          <t>Electret + low-noise opamp with a gain pot — when you want raw analog audio under your own control rather than AGC's opinions.</t>
        </is>
      </c>
    </row>
    <row r="2649" outlineLevel="1" ht="17" customHeight="1">
      <c r="A2649" s="45" t="inlineStr">
        <is>
          <t>COMMON</t>
        </is>
      </c>
      <c r="B2649" s="46" t="inlineStr">
        <is>
          <t>Sound-level estimation, FFT music visualisers, recording experiments.</t>
        </is>
      </c>
    </row>
    <row r="2650" outlineLevel="1" ht="22" customHeight="1">
      <c r="A2650" s="45" t="inlineStr">
        <is>
          <t>INVENTION</t>
        </is>
      </c>
      <c r="B2650" s="48" t="inlineStr">
        <is>
          <t>A 'room rhythm' lamp: continuous FFT drives colour by spectral balance — conversations, music and silence each paint differently.</t>
        </is>
      </c>
    </row>
    <row r="2651" outlineLevel="1" ht="15" customHeight="1">
      <c r="A2651" s="45" t="inlineStr">
        <is>
          <t>PAIRS</t>
        </is>
      </c>
      <c r="B2651" s="46" t="inlineStr">
        <is>
          <t>FFT + WS2812, smoothing math</t>
        </is>
      </c>
    </row>
    <row r="2652" outlineLevel="1" ht="15" customHeight="1">
      <c r="A2652" s="45" t="inlineStr">
        <is>
          <t>KEY</t>
        </is>
      </c>
      <c r="B2652" s="46" t="inlineStr">
        <is>
          <t>25-125x gain via trim pot</t>
        </is>
      </c>
    </row>
    <row r="2653" outlineLevel="1" ht="16" customHeight="1">
      <c r="A2653" s="45" t="inlineStr">
        <is>
          <t>buy</t>
        </is>
      </c>
      <c r="B2653" s="49" t="inlineStr">
        <is>
          <t>AF · AE · DK   |   boards: Adafruit 1063   |   lib: analogRead/I2S-ADC   [High]</t>
        </is>
      </c>
    </row>
    <row r="2655" ht="22" customHeight="1">
      <c r="A2655" s="54" t="inlineStr">
        <is>
          <t>S209</t>
        </is>
      </c>
      <c r="B2655" s="55" t="inlineStr">
        <is>
          <t>KY-037/038 sound modules   ·   KY-037</t>
        </is>
      </c>
    </row>
    <row r="2656" outlineLevel="1" ht="15" customHeight="1">
      <c r="A2656" s="45" t="inlineStr">
        <is>
          <t>Category</t>
        </is>
      </c>
      <c r="B2656" s="12" t="inlineStr">
        <is>
          <t>Sound &amp; Audio › Threshold detector</t>
        </is>
      </c>
      <c r="E2656" s="45" t="inlineStr">
        <is>
          <t>Measures</t>
        </is>
      </c>
      <c r="F2656" s="12" t="inlineStr">
        <is>
          <t>Sound above a set loudness (digital) + crude analog</t>
        </is>
      </c>
    </row>
    <row r="2657" outlineLevel="1" ht="15" customHeight="1">
      <c r="A2657" s="45" t="inlineStr">
        <is>
          <t>Modality</t>
        </is>
      </c>
      <c r="B2657" s="12" t="inlineStr">
        <is>
          <t>—</t>
        </is>
      </c>
      <c r="E2657" s="45" t="inlineStr">
        <is>
          <t>Interface</t>
        </is>
      </c>
      <c r="F2657" s="12" t="inlineStr">
        <is>
          <t>Analog / Digital</t>
        </is>
      </c>
    </row>
    <row r="2658" outlineLevel="1" ht="15" customHeight="1">
      <c r="A2658" s="45" t="inlineStr">
        <is>
          <t>Supply</t>
        </is>
      </c>
      <c r="B2658" s="12" t="inlineStr">
        <is>
          <t>3.3-5V</t>
        </is>
      </c>
      <c r="E2658" s="45" t="inlineStr">
        <is>
          <t>Price</t>
        </is>
      </c>
      <c r="F2658" s="12" t="inlineStr">
        <is>
          <t>$1  ($)</t>
        </is>
      </c>
    </row>
    <row r="2659" outlineLevel="1" ht="15" customHeight="1">
      <c r="A2659" s="45" t="inlineStr">
        <is>
          <t>Difficulty</t>
        </is>
      </c>
      <c r="B2659" s="12" t="inlineStr">
        <is>
          <t>1 — Plug and play — Qwiic/STEMMA cable or 3 wires, library example works first time</t>
        </is>
      </c>
    </row>
    <row r="2660" outlineLevel="1" ht="22" customHeight="1">
      <c r="A2660" s="45" t="inlineStr">
        <is>
          <t>HOW</t>
        </is>
      </c>
      <c r="B2660" s="46" t="inlineStr">
        <is>
          <t>Mic + comparator with a sensitivity pot — fires a digital pulse on claps, knocks, barks. Zero nuance, instant gratification.</t>
        </is>
      </c>
    </row>
    <row r="2661" outlineLevel="1" ht="16" customHeight="1">
      <c r="A2661" s="45" t="inlineStr">
        <is>
          <t>COMMON</t>
        </is>
      </c>
      <c r="B2661" s="46" t="inlineStr">
        <is>
          <t>Clap switches, bark counters, knock-triggered cameras.</t>
        </is>
      </c>
    </row>
    <row r="2662" outlineLevel="1" ht="20" customHeight="1">
      <c r="A2662" s="45" t="inlineStr">
        <is>
          <t>INVENTION</t>
        </is>
      </c>
      <c r="B2662" s="48" t="inlineStr">
        <is>
          <t>A dog-bark hourly histogram while you're at work: the first honest answer to 'does he bark all day?'</t>
        </is>
      </c>
    </row>
    <row r="2663" outlineLevel="1" ht="15" customHeight="1">
      <c r="A2663" s="45" t="inlineStr">
        <is>
          <t>PAIRS</t>
        </is>
      </c>
      <c r="B2663" s="46" t="inlineStr">
        <is>
          <t>RTC + counter, treat-dispenser experiment</t>
        </is>
      </c>
    </row>
    <row r="2664" outlineLevel="1" ht="15" customHeight="1">
      <c r="A2664" s="45" t="inlineStr">
        <is>
          <t>KEY</t>
        </is>
      </c>
      <c r="B2664" s="46" t="inlineStr">
        <is>
          <t>Threshold only; not for measurement</t>
        </is>
      </c>
    </row>
    <row r="2665" outlineLevel="1" ht="16" customHeight="1">
      <c r="A2665" s="45" t="inlineStr">
        <is>
          <t>buy</t>
        </is>
      </c>
      <c r="B2665" s="49" t="inlineStr">
        <is>
          <t>AE · AMZ · CE   |   boards: KY-037 (big mic) / KY-038   |   lib: digitalRead   [High]</t>
        </is>
      </c>
    </row>
    <row r="2667" ht="22" customHeight="1">
      <c r="A2667" s="54" t="inlineStr">
        <is>
          <t>S210</t>
        </is>
      </c>
      <c r="B2667" s="55" t="inlineStr">
        <is>
          <t>DS18B20 water temp + flow combo   ·   Inline tee fittings</t>
        </is>
      </c>
    </row>
    <row r="2668" outlineLevel="1" ht="15" customHeight="1">
      <c r="A2668" s="45" t="inlineStr">
        <is>
          <t>Category</t>
        </is>
      </c>
      <c r="B2668" s="12" t="inlineStr">
        <is>
          <t>Water &amp; Liquid › Plumbing instrumentation</t>
        </is>
      </c>
      <c r="E2668" s="45" t="inlineStr">
        <is>
          <t>Measures</t>
        </is>
      </c>
      <c r="F2668" s="12" t="inlineStr">
        <is>
          <t>Water temperature inside pipes (with flow context)</t>
        </is>
      </c>
    </row>
    <row r="2669" outlineLevel="1" ht="15" customHeight="1">
      <c r="A2669" s="45" t="inlineStr">
        <is>
          <t>Modality</t>
        </is>
      </c>
      <c r="B2669" s="12" t="inlineStr">
        <is>
          <t>—</t>
        </is>
      </c>
      <c r="E2669" s="45" t="inlineStr">
        <is>
          <t>Interface</t>
        </is>
      </c>
      <c r="F2669" s="12" t="inlineStr">
        <is>
          <t>1-Wire / Pulse</t>
        </is>
      </c>
    </row>
    <row r="2670" outlineLevel="1" ht="15" customHeight="1">
      <c r="A2670" s="45" t="inlineStr">
        <is>
          <t>Supply</t>
        </is>
      </c>
      <c r="B2670" s="12" t="inlineStr">
        <is>
          <t>3.3-5V</t>
        </is>
      </c>
      <c r="E2670" s="45" t="inlineStr">
        <is>
          <t>Price</t>
        </is>
      </c>
      <c r="F2670" s="12" t="inlineStr">
        <is>
          <t>$10  ($$)</t>
        </is>
      </c>
    </row>
    <row r="2671" outlineLevel="1" ht="15" customHeight="1">
      <c r="A2671" s="45" t="inlineStr">
        <is>
          <t>Difficulty</t>
        </is>
      </c>
      <c r="B2671" s="12" t="inlineStr">
        <is>
          <t>2 — Easy — breadboard wiring, a well-documented library, no analog thought needed</t>
        </is>
      </c>
    </row>
    <row r="2672" outlineLevel="1" ht="23" customHeight="1">
      <c r="A2672" s="45" t="inlineStr">
        <is>
          <t>HOW</t>
        </is>
      </c>
      <c r="B2672" s="46" t="inlineStr">
        <is>
          <t>A waterproof DS18B20 in a brass tee reads true in-pipe temperature; with a flow sensor you get thermal power (litres × ΔT) for free.</t>
        </is>
      </c>
    </row>
    <row r="2673" outlineLevel="1" ht="18" customHeight="1">
      <c r="A2673" s="45" t="inlineStr">
        <is>
          <t>COMMON</t>
        </is>
      </c>
      <c r="B2673" s="46" t="inlineStr">
        <is>
          <t>Solar-thermal monitoring, heat-pump COP estimation, shower energy audits.</t>
        </is>
      </c>
    </row>
    <row r="2674" outlineLevel="1" ht="21" customHeight="1">
      <c r="A2674" s="45" t="inlineStr">
        <is>
          <t>INVENTION</t>
        </is>
      </c>
      <c r="B2674" s="48" t="inlineStr">
        <is>
          <t>Measure your actual shower energy in kWh and cost per person — the dashboard that quietly shortens teenage showers.</t>
        </is>
      </c>
    </row>
    <row r="2675" outlineLevel="1" ht="16" customHeight="1">
      <c r="A2675" s="45" t="inlineStr">
        <is>
          <t>PAIRS</t>
        </is>
      </c>
      <c r="B2675" s="46" t="inlineStr">
        <is>
          <t>ePaper bathroom display, per-person tagging via schedule</t>
        </is>
      </c>
    </row>
    <row r="2676" outlineLevel="1" ht="15" customHeight="1">
      <c r="A2676" s="45" t="inlineStr">
        <is>
          <t>KEY</t>
        </is>
      </c>
      <c r="B2676" s="46" t="inlineStr">
        <is>
          <t>kW = flow(L/s) × ΔT(K) × 4.186</t>
        </is>
      </c>
    </row>
    <row r="2677" outlineLevel="1" ht="16" customHeight="1">
      <c r="A2677" s="45" t="inlineStr">
        <is>
          <t>buy</t>
        </is>
      </c>
      <c r="B2677" s="49" t="inlineStr">
        <is>
          <t>AE · AMZ · DIY   |   boards: Brass tee + probe + YF-S201   |   lib: DallasTemperature + PCNT   [High]</t>
        </is>
      </c>
    </row>
    <row r="2679" ht="22" customHeight="1">
      <c r="A2679" s="54" t="inlineStr">
        <is>
          <t>S211</t>
        </is>
      </c>
      <c r="B2679" s="55" t="inlineStr">
        <is>
          <t>Optical infrared water-in-fuel   ·   Optomax LLC200D3SH</t>
        </is>
      </c>
    </row>
    <row r="2680" outlineLevel="1" ht="15" customHeight="1">
      <c r="A2680" s="45" t="inlineStr">
        <is>
          <t>Category</t>
        </is>
      </c>
      <c r="B2680" s="12" t="inlineStr">
        <is>
          <t>Water &amp; Liquid › Level (point, optical)</t>
        </is>
      </c>
      <c r="E2680" s="45" t="inlineStr">
        <is>
          <t>Measures</t>
        </is>
      </c>
      <c r="F2680" s="12" t="inlineStr">
        <is>
          <t>Liquid presence via optical prism (any liquid, tiny)</t>
        </is>
      </c>
    </row>
    <row r="2681" outlineLevel="1" ht="15" customHeight="1">
      <c r="A2681" s="45" t="inlineStr">
        <is>
          <t>Modality</t>
        </is>
      </c>
      <c r="B2681" s="12" t="inlineStr">
        <is>
          <t>—</t>
        </is>
      </c>
      <c r="E2681" s="45" t="inlineStr">
        <is>
          <t>Interface</t>
        </is>
      </c>
      <c r="F2681" s="12" t="inlineStr">
        <is>
          <t>Digital</t>
        </is>
      </c>
    </row>
    <row r="2682" outlineLevel="1" ht="15" customHeight="1">
      <c r="A2682" s="45" t="inlineStr">
        <is>
          <t>Supply</t>
        </is>
      </c>
      <c r="B2682" s="12" t="inlineStr">
        <is>
          <t>4.5-15.4V (5V)</t>
        </is>
      </c>
      <c r="E2682" s="45" t="inlineStr">
        <is>
          <t>Price</t>
        </is>
      </c>
      <c r="F2682" s="12" t="inlineStr">
        <is>
          <t>$18  ($$$)</t>
        </is>
      </c>
    </row>
    <row r="2683" outlineLevel="1" ht="15" customHeight="1">
      <c r="A2683" s="45" t="inlineStr">
        <is>
          <t>Difficulty</t>
        </is>
      </c>
      <c r="B2683" s="12" t="inlineStr">
        <is>
          <t>1 — Plug and play — Qwiic/STEMMA cable or 3 wires, library example works first time</t>
        </is>
      </c>
    </row>
    <row r="2684" outlineLevel="1" ht="24" customHeight="1">
      <c r="A2684" s="45" t="inlineStr">
        <is>
          <t>HOW</t>
        </is>
      </c>
      <c r="B2684" s="46" t="inlineStr">
        <is>
          <t>An IR LED reflects internally in a prism tip when in air; liquid touching the tip steals the reflection — a fast, tiny, no-moving-parts level switch.</t>
        </is>
      </c>
    </row>
    <row r="2685" outlineLevel="1" ht="19" customHeight="1">
      <c r="A2685" s="45" t="inlineStr">
        <is>
          <t>COMMON</t>
        </is>
      </c>
      <c r="B2685" s="46" t="inlineStr">
        <is>
          <t>Coffee machines, medical fluid lines, fuel water detection, foam-vs-liquid discrimination.</t>
        </is>
      </c>
    </row>
    <row r="2686" outlineLevel="1" ht="21" customHeight="1">
      <c r="A2686" s="45" t="inlineStr">
        <is>
          <t>INVENTION</t>
        </is>
      </c>
      <c r="B2686" s="48" t="inlineStr">
        <is>
          <t>Espresso machines die from dry boilers: a prism switch in the tank is the 30-minute mod that doubles machine lifespan.</t>
        </is>
      </c>
    </row>
    <row r="2687" outlineLevel="1" ht="15" customHeight="1">
      <c r="A2687" s="45" t="inlineStr">
        <is>
          <t>PAIRS</t>
        </is>
      </c>
      <c r="B2687" s="46" t="inlineStr">
        <is>
          <t>Boiler interlock relay</t>
        </is>
      </c>
    </row>
    <row r="2688" outlineLevel="1" ht="16" customHeight="1">
      <c r="A2688" s="45" t="inlineStr">
        <is>
          <t>KEY</t>
        </is>
      </c>
      <c r="B2688" s="46" t="inlineStr">
        <is>
          <t>±1mm repeatability, chemical-compatible housings</t>
        </is>
      </c>
    </row>
    <row r="2689" outlineLevel="1" ht="16" customHeight="1">
      <c r="A2689" s="45" t="inlineStr">
        <is>
          <t>buy</t>
        </is>
      </c>
      <c r="B2689" s="49" t="inlineStr">
        <is>
          <t>DK · MO   |   boards: Optomax glass/poly tips   |   lib: digitalRead   [High]</t>
        </is>
      </c>
    </row>
    <row r="2691" ht="22" customHeight="1">
      <c r="A2691" s="54" t="inlineStr">
        <is>
          <t>S212</t>
        </is>
      </c>
      <c r="B2691" s="55" t="inlineStr">
        <is>
          <t>INA3221 triple-channel power   ·   INA3221</t>
        </is>
      </c>
    </row>
    <row r="2692" outlineLevel="1" ht="15" customHeight="1">
      <c r="A2692" s="45" t="inlineStr">
        <is>
          <t>Category</t>
        </is>
      </c>
      <c r="B2692" s="12" t="inlineStr">
        <is>
          <t>Power &amp; Electrical › DC current (I2C)</t>
        </is>
      </c>
      <c r="E2692" s="45" t="inlineStr">
        <is>
          <t>Measures</t>
        </is>
      </c>
      <c r="F2692" s="12" t="inlineStr">
        <is>
          <t>V/I on THREE rails simultaneously</t>
        </is>
      </c>
    </row>
    <row r="2693" outlineLevel="1" ht="15" customHeight="1">
      <c r="A2693" s="45" t="inlineStr">
        <is>
          <t>Modality</t>
        </is>
      </c>
      <c r="B2693" s="12" t="inlineStr">
        <is>
          <t>—</t>
        </is>
      </c>
      <c r="E2693" s="45" t="inlineStr">
        <is>
          <t>Interface</t>
        </is>
      </c>
      <c r="F2693" s="12" t="inlineStr">
        <is>
          <t>I2C</t>
        </is>
      </c>
    </row>
    <row r="2694" outlineLevel="1" ht="15" customHeight="1">
      <c r="A2694" s="45" t="inlineStr">
        <is>
          <t>Supply</t>
        </is>
      </c>
      <c r="B2694" s="12" t="inlineStr">
        <is>
          <t>2.7-5.5V</t>
        </is>
      </c>
      <c r="E2694" s="45" t="inlineStr">
        <is>
          <t>Price</t>
        </is>
      </c>
      <c r="F2694" s="12" t="inlineStr">
        <is>
          <t>$4  ($)</t>
        </is>
      </c>
    </row>
    <row r="2695" outlineLevel="1" ht="15" customHeight="1">
      <c r="A2695" s="45" t="inlineStr">
        <is>
          <t>Difficulty</t>
        </is>
      </c>
      <c r="B2695" s="12" t="inlineStr">
        <is>
          <t>2 — Easy — breadboard wiring, a well-documented library, no analog thought needed</t>
        </is>
      </c>
    </row>
    <row r="2696" outlineLevel="1" ht="22" customHeight="1">
      <c r="A2696" s="45" t="inlineStr">
        <is>
          <t>HOW</t>
        </is>
      </c>
      <c r="B2696" s="46" t="inlineStr">
        <is>
          <t>Three INA-style channels in one chip — watch battery, solar and load at once and learn your energy system's whole story.</t>
        </is>
      </c>
    </row>
    <row r="2697" outlineLevel="1" ht="17" customHeight="1">
      <c r="A2697" s="45" t="inlineStr">
        <is>
          <t>COMMON</t>
        </is>
      </c>
      <c r="B2697" s="46" t="inlineStr">
        <is>
          <t>Solar charge controllers, robot power trees, USB hub forensics.</t>
        </is>
      </c>
    </row>
    <row r="2698" outlineLevel="1" ht="19" customHeight="1">
      <c r="A2698" s="45" t="inlineStr">
        <is>
          <t>INVENTION</t>
        </is>
      </c>
      <c r="B2698" s="48" t="inlineStr">
        <is>
          <t>The solar node truth table: in/out/store on one chip answers 'why did it die at 4am' forever.</t>
        </is>
      </c>
    </row>
    <row r="2699" outlineLevel="1" ht="15" customHeight="1">
      <c r="A2699" s="45" t="inlineStr">
        <is>
          <t>PAIRS</t>
        </is>
      </c>
      <c r="B2699" s="46" t="inlineStr">
        <is>
          <t>Supercap/LiPo hybrid rigs, MPPT boards</t>
        </is>
      </c>
    </row>
    <row r="2700" outlineLevel="1" ht="15" customHeight="1">
      <c r="A2700" s="45" t="inlineStr">
        <is>
          <t>KEY</t>
        </is>
      </c>
      <c r="B2700" s="46" t="inlineStr">
        <is>
          <t>3 ch, ±163mV shunt range, alerts</t>
        </is>
      </c>
    </row>
    <row r="2701" outlineLevel="1" ht="16" customHeight="1">
      <c r="A2701" s="45" t="inlineStr">
        <is>
          <t>buy</t>
        </is>
      </c>
      <c r="B2701" s="49" t="inlineStr">
        <is>
          <t>AE · DK · SF   |   boards: INA3221 purple boards (check shunt config!)   |   lib: SDL_Arduino_INA3221   [High]</t>
        </is>
      </c>
    </row>
    <row r="2703" ht="22" customHeight="1">
      <c r="A2703" s="54" t="inlineStr">
        <is>
          <t>S213</t>
        </is>
      </c>
      <c r="B2703" s="55" t="inlineStr">
        <is>
          <t>ADS1115 16-bit ADC (the analog fixer)   ·   ADS1115 / ADS1015</t>
        </is>
      </c>
    </row>
    <row r="2704" outlineLevel="1" ht="15" customHeight="1">
      <c r="A2704" s="45" t="inlineStr">
        <is>
          <t>Category</t>
        </is>
      </c>
      <c r="B2704" s="12" t="inlineStr">
        <is>
          <t>Power &amp; Electrical › Precision ADC</t>
        </is>
      </c>
      <c r="E2704" s="45" t="inlineStr">
        <is>
          <t>Measures</t>
        </is>
      </c>
      <c r="F2704" s="12" t="inlineStr">
        <is>
          <t>4 analog channels at TRUE 16-bit (ESP32 ADC is rough)</t>
        </is>
      </c>
    </row>
    <row r="2705" outlineLevel="1" ht="15" customHeight="1">
      <c r="A2705" s="45" t="inlineStr">
        <is>
          <t>Modality</t>
        </is>
      </c>
      <c r="B2705" s="12" t="inlineStr">
        <is>
          <t>—</t>
        </is>
      </c>
      <c r="E2705" s="45" t="inlineStr">
        <is>
          <t>Interface</t>
        </is>
      </c>
      <c r="F2705" s="12" t="inlineStr">
        <is>
          <t>I2C</t>
        </is>
      </c>
    </row>
    <row r="2706" outlineLevel="1" ht="15" customHeight="1">
      <c r="A2706" s="45" t="inlineStr">
        <is>
          <t>Supply</t>
        </is>
      </c>
      <c r="B2706" s="12" t="inlineStr">
        <is>
          <t>2.0-5.5V</t>
        </is>
      </c>
      <c r="E2706" s="45" t="inlineStr">
        <is>
          <t>Price</t>
        </is>
      </c>
      <c r="F2706" s="12" t="inlineStr">
        <is>
          <t>$3  ($)</t>
        </is>
      </c>
    </row>
    <row r="2707" outlineLevel="1" ht="15" customHeight="1">
      <c r="A2707" s="45" t="inlineStr">
        <is>
          <t>Difficulty</t>
        </is>
      </c>
      <c r="B2707" s="12" t="inlineStr">
        <is>
          <t>1 — Plug and play — Qwiic/STEMMA cable or 3 wires, library example works first time</t>
        </is>
      </c>
    </row>
    <row r="2708" outlineLevel="1" ht="25" customHeight="1">
      <c r="A2708" s="45" t="inlineStr">
        <is>
          <t>HOW</t>
        </is>
      </c>
      <c r="B2708" s="46" t="inlineStr">
        <is>
          <t>The ESP32's internal ADC is nonlinear and noisy; this $3 board gives four clean 16-bit channels with a programmable amplifier — the single best analog upgrade.</t>
        </is>
      </c>
    </row>
    <row r="2709" outlineLevel="1" ht="21" customHeight="1">
      <c r="A2709" s="45" t="inlineStr">
        <is>
          <t>COMMON</t>
        </is>
      </c>
      <c r="B2709" s="46" t="inlineStr">
        <is>
          <t>Every analog sensor in this catalog reads better through it: pH, EC, load cells (light duty), thermistors, GSR.</t>
        </is>
      </c>
    </row>
    <row r="2710" outlineLevel="1" ht="23" customHeight="1">
      <c r="A2710" s="45" t="inlineStr">
        <is>
          <t>INVENTION</t>
        </is>
      </c>
      <c r="B2710" s="48" t="inlineStr">
        <is>
          <t>Differential mode + PGA reads thermocouples and strain bridges DIRECTLY — one cheap board replaces three specialty amplifiers in a pinch.</t>
        </is>
      </c>
    </row>
    <row r="2711" outlineLevel="1" ht="15" customHeight="1">
      <c r="A2711" s="45" t="inlineStr">
        <is>
          <t>PAIRS</t>
        </is>
      </c>
      <c r="B2711" s="46" t="inlineStr">
        <is>
          <t>Literally any analog sensor here</t>
        </is>
      </c>
    </row>
    <row r="2712" outlineLevel="1" ht="16" customHeight="1">
      <c r="A2712" s="45" t="inlineStr">
        <is>
          <t>KEY</t>
        </is>
      </c>
      <c r="B2712" s="46" t="inlineStr">
        <is>
          <t>16-bit, PGA to ±0.256V (reads µV!), differential modes</t>
        </is>
      </c>
    </row>
    <row r="2713" outlineLevel="1" ht="16" customHeight="1">
      <c r="A2713" s="45" t="inlineStr">
        <is>
          <t>buy</t>
        </is>
      </c>
      <c r="B2713" s="49" t="inlineStr">
        <is>
          <t>AF · AE · DK · SF · CE   |   boards: ADS1115 purple/blue boards   |   lib: Adafruit_ADS1X15   [High]</t>
        </is>
      </c>
    </row>
    <row r="2715" ht="22" customHeight="1">
      <c r="A2715" s="54" t="inlineStr">
        <is>
          <t>S214</t>
        </is>
      </c>
      <c r="B2715" s="55" t="inlineStr">
        <is>
          <t>AS5048A 14-bit angle   ·   AS5048A</t>
        </is>
      </c>
    </row>
    <row r="2716" outlineLevel="1" ht="15" customHeight="1">
      <c r="A2716" s="45" t="inlineStr">
        <is>
          <t>Category</t>
        </is>
      </c>
      <c r="B2716" s="12" t="inlineStr">
        <is>
          <t>Position &amp; Rotation › Absolute angle (precision)</t>
        </is>
      </c>
      <c r="E2716" s="45" t="inlineStr">
        <is>
          <t>Measures</t>
        </is>
      </c>
      <c r="F2716" s="12" t="inlineStr">
        <is>
          <t>Absolute angle at 14-bit (0.022°) for robotics</t>
        </is>
      </c>
    </row>
    <row r="2717" outlineLevel="1" ht="15" customHeight="1">
      <c r="A2717" s="45" t="inlineStr">
        <is>
          <t>Modality</t>
        </is>
      </c>
      <c r="B2717" s="12" t="inlineStr">
        <is>
          <t>—</t>
        </is>
      </c>
      <c r="E2717" s="45" t="inlineStr">
        <is>
          <t>Interface</t>
        </is>
      </c>
      <c r="F2717" s="12" t="inlineStr">
        <is>
          <t>I2C / SPI / PWM</t>
        </is>
      </c>
    </row>
    <row r="2718" outlineLevel="1" ht="15" customHeight="1">
      <c r="A2718" s="45" t="inlineStr">
        <is>
          <t>Supply</t>
        </is>
      </c>
      <c r="B2718" s="12" t="inlineStr">
        <is>
          <t>3.3/5V</t>
        </is>
      </c>
      <c r="E2718" s="45" t="inlineStr">
        <is>
          <t>Price</t>
        </is>
      </c>
      <c r="F2718" s="12" t="inlineStr">
        <is>
          <t>$12  ($$)</t>
        </is>
      </c>
    </row>
    <row r="2719" outlineLevel="1" ht="15" customHeight="1">
      <c r="A2719" s="45" t="inlineStr">
        <is>
          <t>Difficulty</t>
        </is>
      </c>
      <c r="B2719" s="12" t="inlineStr">
        <is>
          <t>2 — Easy — breadboard wiring, a well-documented library, no analog thought needed</t>
        </is>
      </c>
    </row>
    <row r="2720" outlineLevel="1" ht="22" customHeight="1">
      <c r="A2720" s="45" t="inlineStr">
        <is>
          <t>HOW</t>
        </is>
      </c>
      <c r="B2720" s="46" t="inlineStr">
        <is>
          <t>Higher-resolution sibling of AS5600 with SPI and PWM — the encoder for robot joints that must repeat their pose exactly.</t>
        </is>
      </c>
    </row>
    <row r="2721" outlineLevel="1" ht="17" customHeight="1">
      <c r="A2721" s="45" t="inlineStr">
        <is>
          <t>COMMON</t>
        </is>
      </c>
      <c r="B2721" s="46" t="inlineStr">
        <is>
          <t>Robot arm joints, camera turrets, precision gimbals, e-bike throttle.</t>
        </is>
      </c>
    </row>
    <row r="2722" outlineLevel="1" ht="22" customHeight="1">
      <c r="A2722" s="45" t="inlineStr">
        <is>
          <t>INVENTION</t>
        </is>
      </c>
      <c r="B2722" s="48" t="inlineStr">
        <is>
          <t>Record-and-replay robot arms: move it by hand to teach, replay via encoders — tangible programming, no kinematics degree needed.</t>
        </is>
      </c>
    </row>
    <row r="2723" outlineLevel="1" ht="15" customHeight="1">
      <c r="A2723" s="45" t="inlineStr">
        <is>
          <t>PAIRS</t>
        </is>
      </c>
      <c r="B2723" s="46" t="inlineStr">
        <is>
          <t>Servo/stepper + SimpleFOC, teach-pendant button</t>
        </is>
      </c>
    </row>
    <row r="2724" outlineLevel="1" ht="15" customHeight="1">
      <c r="A2724" s="45" t="inlineStr">
        <is>
          <t>KEY</t>
        </is>
      </c>
      <c r="B2724" s="46" t="inlineStr">
        <is>
          <t>14-bit absolute, daisy-chain SPI</t>
        </is>
      </c>
    </row>
    <row r="2725" outlineLevel="1" ht="16" customHeight="1">
      <c r="A2725" s="45" t="inlineStr">
        <is>
          <t>buy</t>
        </is>
      </c>
      <c r="B2725" s="49" t="inlineStr">
        <is>
          <t>AE · DK · MO   |   boards: AS5048A module + diametric magnet   |   lib: SimpleFOC, AS5048A libs   [High]</t>
        </is>
      </c>
    </row>
    <row r="2727" ht="22" customHeight="1">
      <c r="A2727" s="54" t="inlineStr">
        <is>
          <t>S215</t>
        </is>
      </c>
      <c r="B2727" s="55" t="inlineStr">
        <is>
          <t>Draw-wire (string pot) sensor   ·   DIY: encoder + badge reel</t>
        </is>
      </c>
    </row>
    <row r="2728" outlineLevel="1" ht="15" customHeight="1">
      <c r="A2728" s="45" t="inlineStr">
        <is>
          <t>Category</t>
        </is>
      </c>
      <c r="B2728" s="12" t="inlineStr">
        <is>
          <t>Position &amp; Rotation › Linear (long travel)</t>
        </is>
      </c>
      <c r="E2728" s="45" t="inlineStr">
        <is>
          <t>Measures</t>
        </is>
      </c>
      <c r="F2728" s="12" t="inlineStr">
        <is>
          <t>Linear extension over metres via retractable wire</t>
        </is>
      </c>
    </row>
    <row r="2729" outlineLevel="1" ht="15" customHeight="1">
      <c r="A2729" s="45" t="inlineStr">
        <is>
          <t>Modality</t>
        </is>
      </c>
      <c r="B2729" s="12" t="inlineStr">
        <is>
          <t>—</t>
        </is>
      </c>
      <c r="E2729" s="45" t="inlineStr">
        <is>
          <t>Interface</t>
        </is>
      </c>
      <c r="F2729" s="12" t="inlineStr">
        <is>
          <t>I2C / Pulse</t>
        </is>
      </c>
    </row>
    <row r="2730" outlineLevel="1" ht="15" customHeight="1">
      <c r="A2730" s="45" t="inlineStr">
        <is>
          <t>Supply</t>
        </is>
      </c>
      <c r="B2730" s="12" t="inlineStr">
        <is>
          <t>3.3-5V</t>
        </is>
      </c>
      <c r="E2730" s="45" t="inlineStr">
        <is>
          <t>Price</t>
        </is>
      </c>
      <c r="F2730" s="12" t="inlineStr">
        <is>
          <t>$15  ($$$)</t>
        </is>
      </c>
    </row>
    <row r="2731" outlineLevel="1" ht="15" customHeight="1">
      <c r="A2731" s="45" t="inlineStr">
        <is>
          <t>Difficulty</t>
        </is>
      </c>
      <c r="B2731" s="12" t="inlineStr">
        <is>
          <t>3 — Some skill — calibration, level shifting, timing, or datasheet reading required</t>
        </is>
      </c>
    </row>
    <row r="2732" outlineLevel="1" ht="25" customHeight="1">
      <c r="A2732" s="45" t="inlineStr">
        <is>
          <t>HOW</t>
        </is>
      </c>
      <c r="B2732" s="46" t="inlineStr">
        <is>
          <t>A retractable badge-reel spring keeps tension on a wire wound on an encoder — pull the wire, count rotation, know distance. Commercial ones cost hundreds; DIY ≈ $15.</t>
        </is>
      </c>
    </row>
    <row r="2733" outlineLevel="1" ht="17" customHeight="1">
      <c r="A2733" s="45" t="inlineStr">
        <is>
          <t>COMMON</t>
        </is>
      </c>
      <c r="B2733" s="46" t="inlineStr">
        <is>
          <t>Garage-door position, drawer/gate state, linear stages, depth payout.</t>
        </is>
      </c>
    </row>
    <row r="2734" outlineLevel="1" ht="23" customHeight="1">
      <c r="A2734" s="45" t="inlineStr">
        <is>
          <t>INVENTION</t>
        </is>
      </c>
      <c r="B2734" s="48" t="inlineStr">
        <is>
          <t>Instrument anything that slides for $15: workshop vice opening, telescope focuser, chicken-coop door — continuous position, not just endpoints.</t>
        </is>
      </c>
    </row>
    <row r="2735" outlineLevel="1" ht="15" customHeight="1">
      <c r="A2735" s="45" t="inlineStr">
        <is>
          <t>PAIRS</t>
        </is>
      </c>
      <c r="B2735" s="46" t="inlineStr">
        <is>
          <t>Limit switches for homing, stepper closed-loop</t>
        </is>
      </c>
    </row>
    <row r="2736" outlineLevel="1" ht="15" customHeight="1">
      <c r="A2736" s="45" t="inlineStr">
        <is>
          <t>KEY</t>
        </is>
      </c>
      <c r="B2736" s="46" t="inlineStr">
        <is>
          <t>Travel = reel circumference × turns</t>
        </is>
      </c>
    </row>
    <row r="2737" outlineLevel="1" ht="16" customHeight="1">
      <c r="A2737" s="45" t="inlineStr">
        <is>
          <t>buy</t>
        </is>
      </c>
      <c r="B2737" s="49" t="inlineStr">
        <is>
          <t>DIY · AE   |   boards: AS5600 + printed reel + badge reel spring   |   lib: ESP32Encoder/AS5600   [High]</t>
        </is>
      </c>
    </row>
    <row r="2739" ht="22" customHeight="1">
      <c r="A2739" s="54" t="inlineStr">
        <is>
          <t>S216</t>
        </is>
      </c>
      <c r="B2739" s="55" t="inlineStr">
        <is>
          <t>Inclinometer SCL3300   ·   SCL3300-D01</t>
        </is>
      </c>
    </row>
    <row r="2740" outlineLevel="1" ht="15" customHeight="1">
      <c r="A2740" s="45" t="inlineStr">
        <is>
          <t>Category</t>
        </is>
      </c>
      <c r="B2740" s="12" t="inlineStr">
        <is>
          <t>Position &amp; Rotation › Precision tilt</t>
        </is>
      </c>
      <c r="E2740" s="45" t="inlineStr">
        <is>
          <t>Measures</t>
        </is>
      </c>
      <c r="F2740" s="12" t="inlineStr">
        <is>
          <t>Tilt to 0.001° class (industrial inclinometer)</t>
        </is>
      </c>
    </row>
    <row r="2741" outlineLevel="1" ht="15" customHeight="1">
      <c r="A2741" s="45" t="inlineStr">
        <is>
          <t>Modality</t>
        </is>
      </c>
      <c r="B2741" s="12" t="inlineStr">
        <is>
          <t>—</t>
        </is>
      </c>
      <c r="E2741" s="45" t="inlineStr">
        <is>
          <t>Interface</t>
        </is>
      </c>
      <c r="F2741" s="12" t="inlineStr">
        <is>
          <t>SPI</t>
        </is>
      </c>
    </row>
    <row r="2742" outlineLevel="1" ht="15" customHeight="1">
      <c r="A2742" s="45" t="inlineStr">
        <is>
          <t>Supply</t>
        </is>
      </c>
      <c r="B2742" s="12" t="inlineStr">
        <is>
          <t>3.0-3.6V</t>
        </is>
      </c>
      <c r="E2742" s="45" t="inlineStr">
        <is>
          <t>Price</t>
        </is>
      </c>
      <c r="F2742" s="12" t="inlineStr">
        <is>
          <t>$35  ($$$)</t>
        </is>
      </c>
    </row>
    <row r="2743" outlineLevel="1" ht="15" customHeight="1">
      <c r="A2743" s="45" t="inlineStr">
        <is>
          <t>Difficulty</t>
        </is>
      </c>
      <c r="B2743" s="12" t="inlineStr">
        <is>
          <t>3 — Some skill — calibration, level shifting, timing, or datasheet reading required</t>
        </is>
      </c>
    </row>
    <row r="2744" outlineLevel="1" ht="24" customHeight="1">
      <c r="A2744" s="45" t="inlineStr">
        <is>
          <t>HOW</t>
        </is>
      </c>
      <c r="B2744" s="46" t="inlineStr">
        <is>
          <t>A thermally-stabilised MEMS accelerometer built ONLY for inclination — reads gravity's direction so precisely it sees a building lean by millimetres.</t>
        </is>
      </c>
    </row>
    <row r="2745" outlineLevel="1" ht="18" customHeight="1">
      <c r="A2745" s="45" t="inlineStr">
        <is>
          <t>COMMON</t>
        </is>
      </c>
      <c r="B2745" s="46" t="inlineStr">
        <is>
          <t>Structural monitoring, solar-tracker feedback, levelling systems, landslide stakes.</t>
        </is>
      </c>
    </row>
    <row r="2746" outlineLevel="1" ht="21" customHeight="1">
      <c r="A2746" s="45" t="inlineStr">
        <is>
          <t>INVENTION</t>
        </is>
      </c>
      <c r="B2746" s="48" t="inlineStr">
        <is>
          <t>Retaining-wall watchdog: monthly tilt trend on a problem wall, with photos — engineering-grade peace of mind for $40.</t>
        </is>
      </c>
    </row>
    <row r="2747" outlineLevel="1" ht="15" customHeight="1">
      <c r="A2747" s="45" t="inlineStr">
        <is>
          <t>PAIRS</t>
        </is>
      </c>
      <c r="B2747" s="46" t="inlineStr">
        <is>
          <t>LoRa + solar stake, camera snapshot correlation</t>
        </is>
      </c>
    </row>
    <row r="2748" outlineLevel="1" ht="15" customHeight="1">
      <c r="A2748" s="45" t="inlineStr">
        <is>
          <t>KEY</t>
        </is>
      </c>
      <c r="B2748" s="46" t="inlineStr">
        <is>
          <t>±0.0025° resolution, 0.001°/yr-class stability</t>
        </is>
      </c>
    </row>
    <row r="2749" outlineLevel="1" ht="16" customHeight="1">
      <c r="A2749" s="45" t="inlineStr">
        <is>
          <t>buy</t>
        </is>
      </c>
      <c r="B2749" s="49" t="inlineStr">
        <is>
          <t>DK · MO   |   boards: Murata eval, SparkFun-class carriers   |   lib: SCL3300 Arduino lib   [High]</t>
        </is>
      </c>
    </row>
    <row r="2751" ht="22" customHeight="1">
      <c r="A2751" s="54" t="inlineStr">
        <is>
          <t>S217</t>
        </is>
      </c>
      <c r="B2751" s="55" t="inlineStr">
        <is>
          <t>MAX86150 ECG+PPG combo   ·   MAX86150</t>
        </is>
      </c>
    </row>
    <row r="2752" outlineLevel="1" ht="15" customHeight="1">
      <c r="A2752" s="45" t="inlineStr">
        <is>
          <t>Category</t>
        </is>
      </c>
      <c r="B2752" s="12" t="inlineStr">
        <is>
          <t>Biometric &amp; Health › Multi-modal vitals</t>
        </is>
      </c>
      <c r="E2752" s="45" t="inlineStr">
        <is>
          <t>Measures</t>
        </is>
      </c>
      <c r="F2752" s="12" t="inlineStr">
        <is>
          <t>ECG AND optical pulse in one chip (PTT possible!)</t>
        </is>
      </c>
    </row>
    <row r="2753" outlineLevel="1" ht="15" customHeight="1">
      <c r="A2753" s="45" t="inlineStr">
        <is>
          <t>Modality</t>
        </is>
      </c>
      <c r="B2753" s="12" t="inlineStr">
        <is>
          <t>—</t>
        </is>
      </c>
      <c r="E2753" s="45" t="inlineStr">
        <is>
          <t>Interface</t>
        </is>
      </c>
      <c r="F2753" s="12" t="inlineStr">
        <is>
          <t>I2C</t>
        </is>
      </c>
    </row>
    <row r="2754" outlineLevel="1" ht="15" customHeight="1">
      <c r="A2754" s="45" t="inlineStr">
        <is>
          <t>Supply</t>
        </is>
      </c>
      <c r="B2754" s="12" t="inlineStr">
        <is>
          <t>1.8/3.3V</t>
        </is>
      </c>
      <c r="E2754" s="45" t="inlineStr">
        <is>
          <t>Price</t>
        </is>
      </c>
      <c r="F2754" s="12" t="inlineStr">
        <is>
          <t>$23  ($$$)</t>
        </is>
      </c>
    </row>
    <row r="2755" outlineLevel="1" ht="15" customHeight="1">
      <c r="A2755" s="45" t="inlineStr">
        <is>
          <t>Difficulty</t>
        </is>
      </c>
      <c r="B2755" s="12" t="inlineStr">
        <is>
          <t>4 — Advanced — analog front-ends, protocol work, mechanical integration, or real safety</t>
        </is>
      </c>
    </row>
    <row r="2756" outlineLevel="1" ht="24" customHeight="1">
      <c r="A2756" s="45" t="inlineStr">
        <is>
          <t>HOW</t>
        </is>
      </c>
      <c r="B2756" s="46" t="inlineStr">
        <is>
          <t>Synchronised electrical (ECG) + optical (PPG) acquisition lets you measure pulse-transit-time — the research route to cuffless blood-pressure estimation.</t>
        </is>
      </c>
    </row>
    <row r="2757" outlineLevel="1" ht="17" customHeight="1">
      <c r="A2757" s="45" t="inlineStr">
        <is>
          <t>COMMON</t>
        </is>
      </c>
      <c r="B2757" s="46" t="inlineStr">
        <is>
          <t>PTT/BP-trend research, advanced HRV, cardiology learning rigs.</t>
        </is>
      </c>
    </row>
    <row r="2758" outlineLevel="1" ht="23" customHeight="1">
      <c r="A2758" s="45" t="inlineStr">
        <is>
          <t>INVENTION</t>
        </is>
      </c>
      <c r="B2758" s="48" t="inlineStr">
        <is>
          <t>Cuffless BP-trend wearable (research-grade honesty required) — PTT shifts track BP changes; calibrate against a real cuff and study yourself.</t>
        </is>
      </c>
    </row>
    <row r="2759" outlineLevel="1" ht="15" customHeight="1">
      <c r="A2759" s="45" t="inlineStr">
        <is>
          <t>PAIRS</t>
        </is>
      </c>
      <c r="B2759" s="46" t="inlineStr">
        <is>
          <t>Dry electrodes in a grip bar, BLE logging</t>
        </is>
      </c>
    </row>
    <row r="2760" outlineLevel="1" ht="15" customHeight="1">
      <c r="A2760" s="45" t="inlineStr">
        <is>
          <t>KEY</t>
        </is>
      </c>
      <c r="B2760" s="46" t="inlineStr">
        <is>
          <t>Synchronised ECG+PPG FIFO</t>
        </is>
      </c>
    </row>
    <row r="2761" outlineLevel="1" ht="16" customHeight="1">
      <c r="A2761" s="45" t="inlineStr">
        <is>
          <t>buy</t>
        </is>
      </c>
      <c r="B2761" s="49" t="inlineStr">
        <is>
          <t>PC · DK · MO · AE   |   boards: ProtoCentral MAX86150 board   |   lib: ProtoCentral lib   [High]</t>
        </is>
      </c>
    </row>
    <row r="2763" ht="22" customHeight="1">
      <c r="A2763" s="54" t="inlineStr">
        <is>
          <t>S218</t>
        </is>
      </c>
      <c r="B2763" s="55" t="inlineStr">
        <is>
          <t>Thermistor airflow (nasal) kit   ·   NTC + nasal cannula DIY</t>
        </is>
      </c>
    </row>
    <row r="2764" outlineLevel="1" ht="15" customHeight="1">
      <c r="A2764" s="45" t="inlineStr">
        <is>
          <t>Category</t>
        </is>
      </c>
      <c r="B2764" s="12" t="inlineStr">
        <is>
          <t>Biometric &amp; Health › Respiration</t>
        </is>
      </c>
      <c r="E2764" s="45" t="inlineStr">
        <is>
          <t>Measures</t>
        </is>
      </c>
      <c r="F2764" s="12" t="inlineStr">
        <is>
          <t>Breath timing via airflow temperature swings</t>
        </is>
      </c>
    </row>
    <row r="2765" outlineLevel="1" ht="15" customHeight="1">
      <c r="A2765" s="45" t="inlineStr">
        <is>
          <t>Modality</t>
        </is>
      </c>
      <c r="B2765" s="12" t="inlineStr">
        <is>
          <t>—</t>
        </is>
      </c>
      <c r="E2765" s="45" t="inlineStr">
        <is>
          <t>Interface</t>
        </is>
      </c>
      <c r="F2765" s="12" t="inlineStr">
        <is>
          <t>Analog</t>
        </is>
      </c>
    </row>
    <row r="2766" outlineLevel="1" ht="15" customHeight="1">
      <c r="A2766" s="45" t="inlineStr">
        <is>
          <t>Supply</t>
        </is>
      </c>
      <c r="B2766" s="12" t="inlineStr">
        <is>
          <t>3.3V divider</t>
        </is>
      </c>
      <c r="E2766" s="45" t="inlineStr">
        <is>
          <t>Price</t>
        </is>
      </c>
      <c r="F2766" s="12" t="inlineStr">
        <is>
          <t>$3  ($)</t>
        </is>
      </c>
    </row>
    <row r="2767" outlineLevel="1" ht="15" customHeight="1">
      <c r="A2767" s="45" t="inlineStr">
        <is>
          <t>Difficulty</t>
        </is>
      </c>
      <c r="B2767" s="12" t="inlineStr">
        <is>
          <t>3 — Some skill — calibration, level shifting, timing, or datasheet reading required</t>
        </is>
      </c>
    </row>
    <row r="2768" outlineLevel="1" ht="22" customHeight="1">
      <c r="A2768" s="45" t="inlineStr">
        <is>
          <t>HOW</t>
        </is>
      </c>
      <c r="B2768" s="46" t="inlineStr">
        <is>
          <t>A fast bare-bead thermistor in the airstream cools on inhale, warms on exhale — breath phase with parts from the junk drawer.</t>
        </is>
      </c>
    </row>
    <row r="2769" outlineLevel="1" ht="19" customHeight="1">
      <c r="A2769" s="45" t="inlineStr">
        <is>
          <t>COMMON</t>
        </is>
      </c>
      <c r="B2769" s="46" t="inlineStr">
        <is>
          <t>Breath-rate during meditation, snore/apnea screening experiments, breath-controlled games.</t>
        </is>
      </c>
    </row>
    <row r="2770" outlineLevel="1" ht="22" customHeight="1">
      <c r="A2770" s="45" t="inlineStr">
        <is>
          <t>INVENTION</t>
        </is>
      </c>
      <c r="B2770" s="48" t="inlineStr">
        <is>
          <t>Breath-controlled meditation games: a candle on screen flickers with YOUR actual exhale — biofeedback that makes pranayama visible.</t>
        </is>
      </c>
    </row>
    <row r="2771" outlineLevel="1" ht="15" customHeight="1">
      <c r="A2771" s="45" t="inlineStr">
        <is>
          <t>PAIRS</t>
        </is>
      </c>
      <c r="B2771" s="46" t="inlineStr">
        <is>
          <t>Display/audio biofeedback, HRV co-logging</t>
        </is>
      </c>
    </row>
    <row r="2772" outlineLevel="1" ht="15" customHeight="1">
      <c r="A2772" s="45" t="inlineStr">
        <is>
          <t>KEY</t>
        </is>
      </c>
      <c r="B2772" s="46" t="inlineStr">
        <is>
          <t>Fast 'glass bead' NTC needed for crisp waveform</t>
        </is>
      </c>
    </row>
    <row r="2773" outlineLevel="1" ht="16" customHeight="1">
      <c r="A2773" s="45" t="inlineStr">
        <is>
          <t>buy</t>
        </is>
      </c>
      <c r="B2773" s="49" t="inlineStr">
        <is>
          <t>DK · AE · DIY   |   boards: DIY rig   |   lib: ADC + peak detection   [High]</t>
        </is>
      </c>
    </row>
    <row r="2775" ht="22" customHeight="1">
      <c r="A2775" s="54" t="inlineStr">
        <is>
          <t>S219</t>
        </is>
      </c>
      <c r="B2775" s="55" t="inlineStr">
        <is>
          <t>Inductive proximity switch M12/M18   ·   LJ12A3-4-Z/BX</t>
        </is>
      </c>
    </row>
    <row r="2776" outlineLevel="1" ht="15" customHeight="1">
      <c r="A2776" s="45" t="inlineStr">
        <is>
          <t>Category</t>
        </is>
      </c>
      <c r="B2776" s="12" t="inlineStr">
        <is>
          <t>Industrial &amp; Automotive › Proximity (metal)</t>
        </is>
      </c>
      <c r="E2776" s="45" t="inlineStr">
        <is>
          <t>Measures</t>
        </is>
      </c>
      <c r="F2776" s="12" t="inlineStr">
        <is>
          <t>Metal presence 4-8mm, sealed, industrial form</t>
        </is>
      </c>
    </row>
    <row r="2777" outlineLevel="1" ht="15" customHeight="1">
      <c r="A2777" s="45" t="inlineStr">
        <is>
          <t>Modality</t>
        </is>
      </c>
      <c r="B2777" s="12" t="inlineStr">
        <is>
          <t>—</t>
        </is>
      </c>
      <c r="E2777" s="45" t="inlineStr">
        <is>
          <t>Interface</t>
        </is>
      </c>
      <c r="F2777" s="12" t="inlineStr">
        <is>
          <t>Analog / Digital</t>
        </is>
      </c>
    </row>
    <row r="2778" outlineLevel="1" ht="15" customHeight="1">
      <c r="A2778" s="45" t="inlineStr">
        <is>
          <t>Supply</t>
        </is>
      </c>
      <c r="B2778" s="12" t="inlineStr">
        <is>
          <t>6-36V</t>
        </is>
      </c>
      <c r="E2778" s="45" t="inlineStr">
        <is>
          <t>Price</t>
        </is>
      </c>
      <c r="F2778" s="12" t="inlineStr">
        <is>
          <t>$2.5  ($)</t>
        </is>
      </c>
    </row>
    <row r="2779" outlineLevel="1" ht="15" customHeight="1">
      <c r="A2779" s="45" t="inlineStr">
        <is>
          <t>Difficulty</t>
        </is>
      </c>
      <c r="B2779" s="12" t="inlineStr">
        <is>
          <t>2 — Easy — breadboard wiring, a well-documented library, no analog thought needed</t>
        </is>
      </c>
    </row>
    <row r="2780" outlineLevel="1" ht="25" customHeight="1">
      <c r="A2780" s="45" t="inlineStr">
        <is>
          <t>HOW</t>
        </is>
      </c>
      <c r="B2780" s="46" t="inlineStr">
        <is>
          <t>An oscillating coil in a threaded steel barrel is damped by approaching metal — the bulletproof position sensor of every factory, now in your toolbox for $2.</t>
        </is>
      </c>
    </row>
    <row r="2781" outlineLevel="1" ht="18" customHeight="1">
      <c r="A2781" s="45" t="inlineStr">
        <is>
          <t>COMMON</t>
        </is>
      </c>
      <c r="B2781" s="46" t="inlineStr">
        <is>
          <t>CNC/3D-printer homing, conveyor part counting, gear-tooth RPM, gate position.</t>
        </is>
      </c>
    </row>
    <row r="2782" outlineLevel="1" ht="22" customHeight="1">
      <c r="A2782" s="45" t="inlineStr">
        <is>
          <t>INVENTION</t>
        </is>
      </c>
      <c r="B2782" s="48" t="inlineStr">
        <is>
          <t>Gear-tooth tachometer on anything rotating and ferrous: pulses per tooth = RPM with zero shaft contact, in oil, dust or rain.</t>
        </is>
      </c>
    </row>
    <row r="2783" outlineLevel="1" ht="15" customHeight="1">
      <c r="A2783" s="45" t="inlineStr">
        <is>
          <t>PAIRS</t>
        </is>
      </c>
      <c r="B2783" s="46" t="inlineStr">
        <is>
          <t>PCNT counting, optocoupler isolation</t>
        </is>
      </c>
    </row>
    <row r="2784" outlineLevel="1" ht="15" customHeight="1">
      <c r="A2784" s="45" t="inlineStr">
        <is>
          <t>KEY</t>
        </is>
      </c>
      <c r="B2784" s="46" t="inlineStr">
        <is>
          <t>IP67, 4mm sense (M12), 500Hz</t>
        </is>
      </c>
    </row>
    <row r="2785" outlineLevel="1" ht="16" customHeight="1">
      <c r="A2785" s="45" t="inlineStr">
        <is>
          <t>buy</t>
        </is>
      </c>
      <c r="B2785" s="49" t="inlineStr">
        <is>
          <t>AE · AMZ · DK   |   boards: LJ12A3 (NPN NO most useful)   |   lib: digitalRead via divider   [High]</t>
        </is>
      </c>
    </row>
    <row r="2787" ht="22" customHeight="1">
      <c r="A2787" s="54" t="inlineStr">
        <is>
          <t>S220</t>
        </is>
      </c>
      <c r="B2787" s="55" t="inlineStr">
        <is>
          <t>Photoelectric beam sensor E18-D80NK   ·   E18-D80NK</t>
        </is>
      </c>
    </row>
    <row r="2788" outlineLevel="1" ht="15" customHeight="1">
      <c r="A2788" s="45" t="inlineStr">
        <is>
          <t>Category</t>
        </is>
      </c>
      <c r="B2788" s="12" t="inlineStr">
        <is>
          <t>Industrial &amp; Automotive › Optical (beam)</t>
        </is>
      </c>
      <c r="E2788" s="45" t="inlineStr">
        <is>
          <t>Measures</t>
        </is>
      </c>
      <c r="F2788" s="12" t="inlineStr">
        <is>
          <t>Object presence 3-80cm, adjustable, sealed</t>
        </is>
      </c>
    </row>
    <row r="2789" outlineLevel="1" ht="15" customHeight="1">
      <c r="A2789" s="45" t="inlineStr">
        <is>
          <t>Modality</t>
        </is>
      </c>
      <c r="B2789" s="12" t="inlineStr">
        <is>
          <t>—</t>
        </is>
      </c>
      <c r="E2789" s="45" t="inlineStr">
        <is>
          <t>Interface</t>
        </is>
      </c>
      <c r="F2789" s="12" t="inlineStr">
        <is>
          <t>Digital</t>
        </is>
      </c>
    </row>
    <row r="2790" outlineLevel="1" ht="15" customHeight="1">
      <c r="A2790" s="45" t="inlineStr">
        <is>
          <t>Supply</t>
        </is>
      </c>
      <c r="B2790" s="12" t="inlineStr">
        <is>
          <t>5V</t>
        </is>
      </c>
      <c r="E2790" s="45" t="inlineStr">
        <is>
          <t>Price</t>
        </is>
      </c>
      <c r="F2790" s="12" t="inlineStr">
        <is>
          <t>$3  ($)</t>
        </is>
      </c>
    </row>
    <row r="2791" outlineLevel="1" ht="15" customHeight="1">
      <c r="A2791" s="45" t="inlineStr">
        <is>
          <t>Difficulty</t>
        </is>
      </c>
      <c r="B2791" s="12" t="inlineStr">
        <is>
          <t>1 — Plug and play — Qwiic/STEMMA cable or 3 wires, library example works first time</t>
        </is>
      </c>
    </row>
    <row r="2792" outlineLevel="1" ht="23" customHeight="1">
      <c r="A2792" s="45" t="inlineStr">
        <is>
          <t>HOW</t>
        </is>
      </c>
      <c r="B2792" s="46" t="inlineStr">
        <is>
          <t>IR beam with synchronous detection ignores ambient light; a pot sets the trip distance — a robust 'something is here' eye for real-world grime.</t>
        </is>
      </c>
    </row>
    <row r="2793" outlineLevel="1" ht="17" customHeight="1">
      <c r="A2793" s="45" t="inlineStr">
        <is>
          <t>COMMON</t>
        </is>
      </c>
      <c r="B2793" s="46" t="inlineStr">
        <is>
          <t>Parts counters, driveway beams, kiosk hand-detection, conveyor jams.</t>
        </is>
      </c>
    </row>
    <row r="2794" outlineLevel="1" ht="23" customHeight="1">
      <c r="A2794" s="45" t="inlineStr">
        <is>
          <t>INVENTION</t>
        </is>
      </c>
      <c r="B2794" s="48" t="inlineStr">
        <is>
          <t>Count everything that passes a point: eggs from the coop chute, parcels down a slide, laps of an RC car — counting is the gateway analytic.</t>
        </is>
      </c>
    </row>
    <row r="2795" outlineLevel="1" ht="15" customHeight="1">
      <c r="A2795" s="45" t="inlineStr">
        <is>
          <t>PAIRS</t>
        </is>
      </c>
      <c r="B2795" s="46" t="inlineStr">
        <is>
          <t>PCNT, daily-total MQTT, receipt printer for fun</t>
        </is>
      </c>
    </row>
    <row r="2796" outlineLevel="1" ht="15" customHeight="1">
      <c r="A2796" s="45" t="inlineStr">
        <is>
          <t>KEY</t>
        </is>
      </c>
      <c r="B2796" s="46" t="inlineStr">
        <is>
          <t>IP65-ish barrel, 3-80cm adjustable</t>
        </is>
      </c>
    </row>
    <row r="2797" outlineLevel="1" ht="16" customHeight="1">
      <c r="A2797" s="45" t="inlineStr">
        <is>
          <t>buy</t>
        </is>
      </c>
      <c r="B2797" s="49" t="inlineStr">
        <is>
          <t>AE · AMZ · DFR · CE   |   boards: E18-D80NK barrel   |   lib: digitalRead + pullup   [High]</t>
        </is>
      </c>
    </row>
    <row r="2799" ht="22" customHeight="1">
      <c r="A2799" s="54" t="inlineStr">
        <is>
          <t>S221</t>
        </is>
      </c>
      <c r="B2799" s="55" t="inlineStr">
        <is>
          <t>Through-beam slot / photo-interrupter   ·   ITR9608 / GP1A57HR</t>
        </is>
      </c>
    </row>
    <row r="2800" outlineLevel="1" ht="15" customHeight="1">
      <c r="A2800" s="45" t="inlineStr">
        <is>
          <t>Category</t>
        </is>
      </c>
      <c r="B2800" s="12" t="inlineStr">
        <is>
          <t>Industrial &amp; Automotive › Optical (slot)</t>
        </is>
      </c>
      <c r="E2800" s="45" t="inlineStr">
        <is>
          <t>Measures</t>
        </is>
      </c>
      <c r="F2800" s="12" t="inlineStr">
        <is>
          <t>Beam-break events in a U-slot (µs precision)</t>
        </is>
      </c>
    </row>
    <row r="2801" outlineLevel="1" ht="15" customHeight="1">
      <c r="A2801" s="45" t="inlineStr">
        <is>
          <t>Modality</t>
        </is>
      </c>
      <c r="B2801" s="12" t="inlineStr">
        <is>
          <t>—</t>
        </is>
      </c>
      <c r="E2801" s="45" t="inlineStr">
        <is>
          <t>Interface</t>
        </is>
      </c>
      <c r="F2801" s="12" t="inlineStr">
        <is>
          <t>Digital</t>
        </is>
      </c>
    </row>
    <row r="2802" outlineLevel="1" ht="15" customHeight="1">
      <c r="A2802" s="45" t="inlineStr">
        <is>
          <t>Supply</t>
        </is>
      </c>
      <c r="B2802" s="12" t="inlineStr">
        <is>
          <t>3.3-5V</t>
        </is>
      </c>
      <c r="E2802" s="45" t="inlineStr">
        <is>
          <t>Price</t>
        </is>
      </c>
      <c r="F2802" s="12" t="inlineStr">
        <is>
          <t>$1  ($)</t>
        </is>
      </c>
    </row>
    <row r="2803" outlineLevel="1" ht="15" customHeight="1">
      <c r="A2803" s="45" t="inlineStr">
        <is>
          <t>Difficulty</t>
        </is>
      </c>
      <c r="B2803" s="12" t="inlineStr">
        <is>
          <t>1 — Plug and play — Qwiic/STEMMA cable or 3 wires, library example works first time</t>
        </is>
      </c>
    </row>
    <row r="2804" outlineLevel="1" ht="25" customHeight="1">
      <c r="A2804" s="45" t="inlineStr">
        <is>
          <t>HOW</t>
        </is>
      </c>
      <c r="B2804" s="46" t="inlineStr">
        <is>
          <t>LED and phototransistor face each other across a slot; anything crossing breaks the beam in microseconds — the precision timing gate of pinewood derbies and encoders.</t>
        </is>
      </c>
    </row>
    <row r="2805" outlineLevel="1" ht="18" customHeight="1">
      <c r="A2805" s="45" t="inlineStr">
        <is>
          <t>COMMON</t>
        </is>
      </c>
      <c r="B2805" s="46" t="inlineStr">
        <is>
          <t>Coin/bead counters, wheel encoders (slotted disc), drip counters, race timing.</t>
        </is>
      </c>
    </row>
    <row r="2806" outlineLevel="1" ht="23" customHeight="1">
      <c r="A2806" s="45" t="inlineStr">
        <is>
          <t>INVENTION</t>
        </is>
      </c>
      <c r="B2806" s="48" t="inlineStr">
        <is>
          <t>An IV-style drip counter for gravity irrigation: drops per minute → ml/h, closing the loop on the cheapest dosing hardware there is.</t>
        </is>
      </c>
    </row>
    <row r="2807" outlineLevel="1" ht="15" customHeight="1">
      <c r="A2807" s="45" t="inlineStr">
        <is>
          <t>PAIRS</t>
        </is>
      </c>
      <c r="B2807" s="46" t="inlineStr">
        <is>
          <t>PCNT, peristaltic/valve control</t>
        </is>
      </c>
    </row>
    <row r="2808" outlineLevel="1" ht="15" customHeight="1">
      <c r="A2808" s="45" t="inlineStr">
        <is>
          <t>KEY</t>
        </is>
      </c>
      <c r="B2808" s="46" t="inlineStr">
        <is>
          <t>µs response; combine two for speed traps</t>
        </is>
      </c>
    </row>
    <row r="2809" outlineLevel="1" ht="16" customHeight="1">
      <c r="A2809" s="45" t="inlineStr">
        <is>
          <t>buy</t>
        </is>
      </c>
      <c r="B2809" s="49" t="inlineStr">
        <is>
          <t>AE · DK · SF · CE   |   boards: Slot modules, bare ITR9608   |   lib: Interrupts + esp_timer   [High]</t>
        </is>
      </c>
    </row>
    <row r="2811" ht="22" customHeight="1">
      <c r="A2811" s="54" t="inlineStr">
        <is>
          <t>S222</t>
        </is>
      </c>
      <c r="B2811" s="55" t="inlineStr">
        <is>
          <t>Narrowband O2 sensor (HEGO)   ·   Bosch/NTK universal HEGO (1-4 wire)</t>
        </is>
      </c>
    </row>
    <row r="2812" outlineLevel="1" ht="15" customHeight="1">
      <c r="A2812" s="45" t="inlineStr">
        <is>
          <t>Category</t>
        </is>
      </c>
      <c r="B2812" s="12" t="inlineStr">
        <is>
          <t>Industrial &amp; Automotive › Combustion O2</t>
        </is>
      </c>
      <c r="E2812" s="45" t="inlineStr">
        <is>
          <t>Measures</t>
        </is>
      </c>
      <c r="F2812" s="12" t="inlineStr">
        <is>
          <t>Exhaust oxygen as a rich/lean switch around stoichiometric</t>
        </is>
      </c>
    </row>
    <row r="2813" outlineLevel="1" ht="15" customHeight="1">
      <c r="A2813" s="45" t="inlineStr">
        <is>
          <t>Modality</t>
        </is>
      </c>
      <c r="B2813" s="12" t="inlineStr">
        <is>
          <t>—</t>
        </is>
      </c>
      <c r="E2813" s="45" t="inlineStr">
        <is>
          <t>Interface</t>
        </is>
      </c>
      <c r="F2813" s="12" t="inlineStr">
        <is>
          <t>Analog</t>
        </is>
      </c>
    </row>
    <row r="2814" outlineLevel="1" ht="15" customHeight="1">
      <c r="A2814" s="45" t="inlineStr">
        <is>
          <t>Supply</t>
        </is>
      </c>
      <c r="B2814" s="12" t="inlineStr">
        <is>
          <t>sensor cell passive; heater 12V</t>
        </is>
      </c>
      <c r="E2814" s="45" t="inlineStr">
        <is>
          <t>Price</t>
        </is>
      </c>
      <c r="F2814" s="12" t="inlineStr">
        <is>
          <t>$15  ($$$)</t>
        </is>
      </c>
    </row>
    <row r="2815" outlineLevel="1" ht="15" customHeight="1">
      <c r="A2815" s="45" t="inlineStr">
        <is>
          <t>Difficulty</t>
        </is>
      </c>
      <c r="B2815" s="12" t="inlineStr">
        <is>
          <t>4 — Advanced — analog front-ends, protocol work, mechanical integration, or real safety</t>
        </is>
      </c>
    </row>
    <row r="2816" outlineLevel="1" ht="47" customHeight="1">
      <c r="A2816" s="45" t="inlineStr">
        <is>
          <t>HOW</t>
        </is>
      </c>
      <c r="B2816" s="46" t="inlineStr">
        <is>
          <t>A zirconia cell generates a voltage from the oxygen differential between exhaust and outside air — the sensor closed-loop fuel injection is built on. A NARROWBAND (HEGO) cell only tells you which side of stoichiometric you are on; it is not a linear O2 reading. Wideband LSU sensors look similar but are pump-cell devices that CANNOT be read with a plain ADC — they need a dedicated controller (Bosch CJ125 or equivalent).</t>
        </is>
      </c>
    </row>
    <row r="2817" outlineLevel="1" ht="18" customHeight="1">
      <c r="A2817" s="45" t="inlineStr">
        <is>
          <t>COMMON</t>
        </is>
      </c>
      <c r="B2817" s="46" t="inlineStr">
        <is>
          <t>Generator/burner tuning, wood-stove combustion efficiency, kart/engine projects.</t>
        </is>
      </c>
    </row>
    <row r="2818" outlineLevel="1" ht="21" customHeight="1">
      <c r="A2818" s="45" t="inlineStr">
        <is>
          <t>INVENTION</t>
        </is>
      </c>
      <c r="B2818" s="48" t="inlineStr">
        <is>
          <t>Wood-stove efficiency coach: O2 + flue temp tells you when to damp down — burn cleaner, heat more, smoke less.</t>
        </is>
      </c>
    </row>
    <row r="2819" outlineLevel="1" ht="15" customHeight="1">
      <c r="A2819" s="45" t="inlineStr">
        <is>
          <t>PAIRS</t>
        </is>
      </c>
      <c r="B2819" s="46" t="inlineStr">
        <is>
          <t>MAX31855 flue probe, damper servo</t>
        </is>
      </c>
    </row>
    <row r="2820" outlineLevel="1" ht="21" customHeight="1">
      <c r="A2820" s="45" t="inlineStr">
        <is>
          <t>KEY</t>
        </is>
      </c>
      <c r="B2820" s="46" t="inlineStr">
        <is>
          <t>Narrowband switch ~0.45V at stoich. For a linear reading you need an LSU + CJ125 controller board (~$60+), not this.</t>
        </is>
      </c>
    </row>
    <row r="2821" outlineLevel="1" ht="16" customHeight="1">
      <c r="A2821" s="45" t="inlineStr">
        <is>
          <t>buy</t>
        </is>
      </c>
      <c r="B2821" s="49" t="inlineStr">
        <is>
          <t>AMZ · AE · DK   |   boards: Bosch universal HEGO + ADS1115; for wideband use an LSU4.9 + CJ125 module   |   lib: ADC + interpretation   [High]</t>
        </is>
      </c>
    </row>
    <row r="2823" ht="22" customHeight="1">
      <c r="A2823" s="54" t="inlineStr">
        <is>
          <t>S223</t>
        </is>
      </c>
      <c r="B2823" s="55" t="inlineStr">
        <is>
          <t>Tire pressure TPMS receivers   ·   433MHz TPMS + CC1101</t>
        </is>
      </c>
    </row>
    <row r="2824" outlineLevel="1" ht="15" customHeight="1">
      <c r="A2824" s="45" t="inlineStr">
        <is>
          <t>Category</t>
        </is>
      </c>
      <c r="B2824" s="12" t="inlineStr">
        <is>
          <t>Industrial &amp; Automotive › Automotive RF</t>
        </is>
      </c>
      <c r="E2824" s="45" t="inlineStr">
        <is>
          <t>Measures</t>
        </is>
      </c>
      <c r="F2824" s="12" t="inlineStr">
        <is>
          <t>Tire pressure/temp from in-wheel senders</t>
        </is>
      </c>
    </row>
    <row r="2825" outlineLevel="1" ht="15" customHeight="1">
      <c r="A2825" s="45" t="inlineStr">
        <is>
          <t>Modality</t>
        </is>
      </c>
      <c r="B2825" s="12" t="inlineStr">
        <is>
          <t>—</t>
        </is>
      </c>
      <c r="E2825" s="45" t="inlineStr">
        <is>
          <t>Interface</t>
        </is>
      </c>
      <c r="F2825" s="12" t="inlineStr">
        <is>
          <t>SPI</t>
        </is>
      </c>
    </row>
    <row r="2826" outlineLevel="1" ht="15" customHeight="1">
      <c r="A2826" s="45" t="inlineStr">
        <is>
          <t>Supply</t>
        </is>
      </c>
      <c r="B2826" s="12" t="inlineStr">
        <is>
          <t>3.3V</t>
        </is>
      </c>
      <c r="E2826" s="45" t="inlineStr">
        <is>
          <t>Price</t>
        </is>
      </c>
      <c r="F2826" s="12" t="inlineStr">
        <is>
          <t>$10  ($$)</t>
        </is>
      </c>
    </row>
    <row r="2827" outlineLevel="1" ht="15" customHeight="1">
      <c r="A2827" s="45" t="inlineStr">
        <is>
          <t>Difficulty</t>
        </is>
      </c>
      <c r="B2827" s="12" t="inlineStr">
        <is>
          <t>4 — Advanced — analog front-ends, protocol work, mechanical integration, or real safety</t>
        </is>
      </c>
    </row>
    <row r="2828" outlineLevel="1" ht="24" customHeight="1">
      <c r="A2828" s="45" t="inlineStr">
        <is>
          <t>HOW</t>
        </is>
      </c>
      <c r="B2828" s="46" t="inlineStr">
        <is>
          <t>Cars broadcast unencrypted tire data on 433MHz; a sub-GHz radio + rtl_433 decodings reads your own wheels (and teaches RF protocol archaeology).</t>
        </is>
      </c>
    </row>
    <row r="2829" outlineLevel="1" ht="17" customHeight="1">
      <c r="A2829" s="45" t="inlineStr">
        <is>
          <t>COMMON</t>
        </is>
      </c>
      <c r="B2829" s="46" t="inlineStr">
        <is>
          <t>Trailer/caravan tire dashboards, tractor fleets, slow-leak alerts.</t>
        </is>
      </c>
    </row>
    <row r="2830" outlineLevel="1" ht="22" customHeight="1">
      <c r="A2830" s="45" t="inlineStr">
        <is>
          <t>INVENTION</t>
        </is>
      </c>
      <c r="B2830" s="48" t="inlineStr">
        <is>
          <t>Trailers don't get dashboards — until now: pressure + hub temp (add IR) on your phone before the bearing fire, not after.</t>
        </is>
      </c>
    </row>
    <row r="2831" outlineLevel="1" ht="15" customHeight="1">
      <c r="A2831" s="45" t="inlineStr">
        <is>
          <t>PAIRS</t>
        </is>
      </c>
      <c r="B2831" s="46" t="inlineStr">
        <is>
          <t>MLX90614 at hubs, BLE phone alert</t>
        </is>
      </c>
    </row>
    <row r="2832" outlineLevel="1" ht="15" customHeight="1">
      <c r="A2832" s="45" t="inlineStr">
        <is>
          <t>KEY</t>
        </is>
      </c>
      <c r="B2832" s="46" t="inlineStr">
        <is>
          <t>Per-wheel kPa + °C, IDs are per-sensor</t>
        </is>
      </c>
    </row>
    <row r="2833" outlineLevel="1" ht="16" customHeight="1">
      <c r="A2833" s="45" t="inlineStr">
        <is>
          <t>buy</t>
        </is>
      </c>
      <c r="B2833" s="49" t="inlineStr">
        <is>
          <t>AE · AMZ   |   boards: CC1101 + aftermarket TPMS senders   |   lib: rtl_433 protocol ports   [High]</t>
        </is>
      </c>
    </row>
    <row r="2835" ht="22" customHeight="1">
      <c r="A2835" s="54" t="inlineStr">
        <is>
          <t>S224</t>
        </is>
      </c>
      <c r="B2835" s="55" t="inlineStr">
        <is>
          <t>Oil/quality dielectric probe   ·   Capacitive dielectric DIY</t>
        </is>
      </c>
    </row>
    <row r="2836" outlineLevel="1" ht="15" customHeight="1">
      <c r="A2836" s="45" t="inlineStr">
        <is>
          <t>Category</t>
        </is>
      </c>
      <c r="B2836" s="12" t="inlineStr">
        <is>
          <t>Industrial &amp; Automotive › Fluid condition</t>
        </is>
      </c>
      <c r="E2836" s="45" t="inlineStr">
        <is>
          <t>Measures</t>
        </is>
      </c>
      <c r="F2836" s="12" t="inlineStr">
        <is>
          <t>Fluid contamination via dielectric shift</t>
        </is>
      </c>
    </row>
    <row r="2837" outlineLevel="1" ht="15" customHeight="1">
      <c r="A2837" s="45" t="inlineStr">
        <is>
          <t>Modality</t>
        </is>
      </c>
      <c r="B2837" s="12" t="inlineStr">
        <is>
          <t>—</t>
        </is>
      </c>
      <c r="E2837" s="45" t="inlineStr">
        <is>
          <t>Interface</t>
        </is>
      </c>
      <c r="F2837" s="12" t="inlineStr">
        <is>
          <t>I2C</t>
        </is>
      </c>
    </row>
    <row r="2838" outlineLevel="1" ht="15" customHeight="1">
      <c r="A2838" s="45" t="inlineStr">
        <is>
          <t>Supply</t>
        </is>
      </c>
      <c r="B2838" s="12" t="inlineStr">
        <is>
          <t>3.3V</t>
        </is>
      </c>
      <c r="E2838" s="45" t="inlineStr">
        <is>
          <t>Price</t>
        </is>
      </c>
      <c r="F2838" s="12" t="inlineStr">
        <is>
          <t>$12  ($$)</t>
        </is>
      </c>
    </row>
    <row r="2839" outlineLevel="1" ht="15" customHeight="1">
      <c r="A2839" s="45" t="inlineStr">
        <is>
          <t>Difficulty</t>
        </is>
      </c>
      <c r="B2839" s="12" t="inlineStr">
        <is>
          <t>4 — Advanced — analog front-ends, protocol work, mechanical integration, or real safety</t>
        </is>
      </c>
    </row>
    <row r="2840" outlineLevel="1" ht="23" customHeight="1">
      <c r="A2840" s="45" t="inlineStr">
        <is>
          <t>HOW</t>
        </is>
      </c>
      <c r="B2840" s="46" t="inlineStr">
        <is>
          <t>Oil's dielectric constant rises with water/metal/oxidation; a capacitor probe in the sump + FDC1004 reads degradation without sampling.</t>
        </is>
      </c>
    </row>
    <row r="2841" outlineLevel="1" ht="17" customHeight="1">
      <c r="A2841" s="45" t="inlineStr">
        <is>
          <t>COMMON</t>
        </is>
      </c>
      <c r="B2841" s="46" t="inlineStr">
        <is>
          <t>Compressor/hydraulic oil watch, fryer-oil quality, gearbox health.</t>
        </is>
      </c>
    </row>
    <row r="2842" outlineLevel="1" ht="22" customHeight="1">
      <c r="A2842" s="45" t="inlineStr">
        <is>
          <t>INVENTION</t>
        </is>
      </c>
      <c r="B2842" s="48" t="inlineStr">
        <is>
          <t>Deep-fryer oil honesty for food trucks: dielectric tracks polar compounds (the legal limit metric in the EU) — change oil by data.</t>
        </is>
      </c>
    </row>
    <row r="2843" outlineLevel="1" ht="15" customHeight="1">
      <c r="A2843" s="45" t="inlineStr">
        <is>
          <t>PAIRS</t>
        </is>
      </c>
      <c r="B2843" s="46" t="inlineStr">
        <is>
          <t>DS18B20 temp compensation, logging</t>
        </is>
      </c>
    </row>
    <row r="2844" outlineLevel="1" ht="15" customHeight="1">
      <c r="A2844" s="45" t="inlineStr">
        <is>
          <t>KEY</t>
        </is>
      </c>
      <c r="B2844" s="46" t="inlineStr">
        <is>
          <t>Trend instrument; calibrate per fluid</t>
        </is>
      </c>
    </row>
    <row r="2845" outlineLevel="1" ht="16" customHeight="1">
      <c r="A2845" s="45" t="inlineStr">
        <is>
          <t>buy</t>
        </is>
      </c>
      <c r="B2845" s="49" t="inlineStr">
        <is>
          <t>DK · DIY   |   boards: FDC1004 + concentric tube probe   |   lib: FDC1004 lib + baselines   [High]</t>
        </is>
      </c>
    </row>
    <row r="2847" ht="22" customHeight="1">
      <c r="A2847" s="54" t="inlineStr">
        <is>
          <t>S225</t>
        </is>
      </c>
      <c r="B2847" s="55" t="inlineStr">
        <is>
          <t>Conductive thread + fabric pads   ·   Stainless thread 2-ply</t>
        </is>
      </c>
    </row>
    <row r="2848" outlineLevel="1" ht="15" customHeight="1">
      <c r="A2848" s="45" t="inlineStr">
        <is>
          <t>Category</t>
        </is>
      </c>
      <c r="B2848" s="12" t="inlineStr">
        <is>
          <t>Materials &amp; Textiles › Sewn sensing</t>
        </is>
      </c>
      <c r="E2848" s="45" t="inlineStr">
        <is>
          <t>Measures</t>
        </is>
      </c>
      <c r="F2848" s="12" t="inlineStr">
        <is>
          <t>Touch, pressure (with Velostat), stretch, moisture on FABRIC</t>
        </is>
      </c>
    </row>
    <row r="2849" outlineLevel="1" ht="15" customHeight="1">
      <c r="A2849" s="45" t="inlineStr">
        <is>
          <t>Modality</t>
        </is>
      </c>
      <c r="B2849" s="12" t="inlineStr">
        <is>
          <t>—</t>
        </is>
      </c>
      <c r="E2849" s="45" t="inlineStr">
        <is>
          <t>Interface</t>
        </is>
      </c>
      <c r="F2849" s="12" t="inlineStr">
        <is>
          <t>Analog</t>
        </is>
      </c>
    </row>
    <row r="2850" outlineLevel="1" ht="15" customHeight="1">
      <c r="A2850" s="45" t="inlineStr">
        <is>
          <t>Supply</t>
        </is>
      </c>
      <c r="B2850" s="12" t="inlineStr">
        <is>
          <t>any</t>
        </is>
      </c>
      <c r="E2850" s="45" t="inlineStr">
        <is>
          <t>Price</t>
        </is>
      </c>
      <c r="F2850" s="12" t="inlineStr">
        <is>
          <t>$8  ($$)</t>
        </is>
      </c>
    </row>
    <row r="2851" outlineLevel="1" ht="15" customHeight="1">
      <c r="A2851" s="45" t="inlineStr">
        <is>
          <t>Difficulty</t>
        </is>
      </c>
      <c r="B2851" s="12" t="inlineStr">
        <is>
          <t>2 — Easy — breadboard wiring, a well-documented library, no analog thought needed</t>
        </is>
      </c>
    </row>
    <row r="2852" outlineLevel="1" ht="25" customHeight="1">
      <c r="A2852" s="45" t="inlineStr">
        <is>
          <t>HOW</t>
        </is>
      </c>
      <c r="B2852" s="46" t="inlineStr">
        <is>
          <t>Stainless thread is sewable wire: couch arms become touch sliders, quilts become pressure maps, garments become interfaces — capacitive or resistive, your choice.</t>
        </is>
      </c>
    </row>
    <row r="2853" outlineLevel="1" ht="19" customHeight="1">
      <c r="A2853" s="45" t="inlineStr">
        <is>
          <t>COMMON</t>
        </is>
      </c>
      <c r="B2853" s="46" t="inlineStr">
        <is>
          <t>Soft switches in clothing, plush-toy interfaces, accessible controls sewn to wheelchair arms.</t>
        </is>
      </c>
    </row>
    <row r="2854" outlineLevel="1" ht="22" customHeight="1">
      <c r="A2854" s="45" t="inlineStr">
        <is>
          <t>INVENTION</t>
        </is>
      </c>
      <c r="B2854" s="48" t="inlineStr">
        <is>
          <t>A jacket cuff that skips songs: three sewn pads + ESP32-C3 + BLE — wearable controls with zero rigid parts touching skin.</t>
        </is>
      </c>
    </row>
    <row r="2855" outlineLevel="1" ht="15" customHeight="1">
      <c r="A2855" s="45" t="inlineStr">
        <is>
          <t>PAIRS</t>
        </is>
      </c>
      <c r="B2855" s="46" t="inlineStr">
        <is>
          <t>MPR121 (12 sewn pads!), LiPo + charger</t>
        </is>
      </c>
    </row>
    <row r="2856" outlineLevel="1" ht="15" customHeight="1">
      <c r="A2856" s="45" t="inlineStr">
        <is>
          <t>KEY</t>
        </is>
      </c>
      <c r="B2856" s="46" t="inlineStr">
        <is>
          <t>~10Ω/m thread; wash with care</t>
        </is>
      </c>
    </row>
    <row r="2857" outlineLevel="1" ht="16" customHeight="1">
      <c r="A2857" s="45" t="inlineStr">
        <is>
          <t>buy</t>
        </is>
      </c>
      <c r="B2857" s="49" t="inlineStr">
        <is>
          <t>AF · SF · AE   |   boards: Thread spools + snaps as connectors   |   lib: touchRead / MPR121   [High]</t>
        </is>
      </c>
    </row>
    <row r="2859" ht="22" customHeight="1">
      <c r="A2859" s="54" t="inlineStr">
        <is>
          <t>S226</t>
        </is>
      </c>
      <c r="B2859" s="55" t="inlineStr">
        <is>
          <t>Frustration-free moisture: plant leaf clip   ·   DIY leaf clip + IR pair</t>
        </is>
      </c>
    </row>
    <row r="2860" outlineLevel="1" ht="15" customHeight="1">
      <c r="A2860" s="45" t="inlineStr">
        <is>
          <t>Category</t>
        </is>
      </c>
      <c r="B2860" s="12" t="inlineStr">
        <is>
          <t>Materials &amp; Textiles › Optical material</t>
        </is>
      </c>
      <c r="E2860" s="45" t="inlineStr">
        <is>
          <t>Measures</t>
        </is>
      </c>
      <c r="F2860" s="12" t="inlineStr">
        <is>
          <t>Leaf thickness/turgor (plant water status, direct!)</t>
        </is>
      </c>
    </row>
    <row r="2861" outlineLevel="1" ht="15" customHeight="1">
      <c r="A2861" s="45" t="inlineStr">
        <is>
          <t>Modality</t>
        </is>
      </c>
      <c r="B2861" s="12" t="inlineStr">
        <is>
          <t>—</t>
        </is>
      </c>
      <c r="E2861" s="45" t="inlineStr">
        <is>
          <t>Interface</t>
        </is>
      </c>
      <c r="F2861" s="12" t="inlineStr">
        <is>
          <t>Analog</t>
        </is>
      </c>
    </row>
    <row r="2862" outlineLevel="1" ht="15" customHeight="1">
      <c r="A2862" s="45" t="inlineStr">
        <is>
          <t>Supply</t>
        </is>
      </c>
      <c r="B2862" s="12" t="inlineStr">
        <is>
          <t>3.3V</t>
        </is>
      </c>
      <c r="E2862" s="45" t="inlineStr">
        <is>
          <t>Price</t>
        </is>
      </c>
      <c r="F2862" s="12" t="inlineStr">
        <is>
          <t>$5  ($$)</t>
        </is>
      </c>
    </row>
    <row r="2863" outlineLevel="1" ht="15" customHeight="1">
      <c r="A2863" s="45" t="inlineStr">
        <is>
          <t>Difficulty</t>
        </is>
      </c>
      <c r="B2863" s="12" t="inlineStr">
        <is>
          <t>3 — Some skill — calibration, level shifting, timing, or datasheet reading required</t>
        </is>
      </c>
    </row>
    <row r="2864" outlineLevel="1" ht="25" customHeight="1">
      <c r="A2864" s="45" t="inlineStr">
        <is>
          <t>HOW</t>
        </is>
      </c>
      <c r="B2864" s="46" t="inlineStr">
        <is>
          <t>An IR emitter/detector pair in a 3D-printed clip measures light THROUGH a leaf — thickness shrinks measurably as the plant dehydrates, hours before wilting.</t>
        </is>
      </c>
    </row>
    <row r="2865" outlineLevel="1" ht="18" customHeight="1">
      <c r="A2865" s="45" t="inlineStr">
        <is>
          <t>COMMON</t>
        </is>
      </c>
      <c r="B2865" s="46" t="inlineStr">
        <is>
          <t>Research-style plant water status, irrigation truth-checking, botany education.</t>
        </is>
      </c>
    </row>
    <row r="2866" outlineLevel="1" ht="23" customHeight="1">
      <c r="A2866" s="45" t="inlineStr">
        <is>
          <t>INVENTION</t>
        </is>
      </c>
      <c r="B2866" s="48" t="inlineStr">
        <is>
          <t>The plant itself becomes the moisture sensor — skip the soil proxy entirely. Publish the clip design; this is paper-worthy DIY science.</t>
        </is>
      </c>
    </row>
    <row r="2867" outlineLevel="1" ht="16" customHeight="1">
      <c r="A2867" s="45" t="inlineStr">
        <is>
          <t>PAIRS</t>
        </is>
      </c>
      <c r="B2867" s="46" t="inlineStr">
        <is>
          <t>Soil capacitive for comparison study, pump control</t>
        </is>
      </c>
    </row>
    <row r="2868" outlineLevel="1" ht="15" customHeight="1">
      <c r="A2868" s="45" t="inlineStr">
        <is>
          <t>KEY</t>
        </is>
      </c>
      <c r="B2868" s="46" t="inlineStr">
        <is>
          <t>Relative instrument; per-plant baseline</t>
        </is>
      </c>
    </row>
    <row r="2869" outlineLevel="1" ht="16" customHeight="1">
      <c r="A2869" s="45" t="inlineStr">
        <is>
          <t>buy</t>
        </is>
      </c>
      <c r="B2869" s="49" t="inlineStr">
        <is>
          <t>DIY · DK   |   boards: Printed clip + ITR9608 guts   |   lib: ADC pulsed reads   [High]</t>
        </is>
      </c>
    </row>
    <row r="2871" ht="22" customHeight="1">
      <c r="A2871" s="54" t="inlineStr">
        <is>
          <t>S227</t>
        </is>
      </c>
      <c r="B2871" s="55" t="inlineStr">
        <is>
          <t>Color-changing material readers   ·   TCS34725 + indicator media</t>
        </is>
      </c>
    </row>
    <row r="2872" outlineLevel="1" ht="15" customHeight="1">
      <c r="A2872" s="45" t="inlineStr">
        <is>
          <t>Category</t>
        </is>
      </c>
      <c r="B2872" s="12" t="inlineStr">
        <is>
          <t>Materials &amp; Textiles › Chemistry via color</t>
        </is>
      </c>
      <c r="E2872" s="45" t="inlineStr">
        <is>
          <t>Measures</t>
        </is>
      </c>
      <c r="F2872" s="12" t="inlineStr">
        <is>
          <t>CO2 (indicator gel), pH strips, humidity cards — via color</t>
        </is>
      </c>
    </row>
    <row r="2873" outlineLevel="1" ht="15" customHeight="1">
      <c r="A2873" s="45" t="inlineStr">
        <is>
          <t>Modality</t>
        </is>
      </c>
      <c r="B2873" s="12" t="inlineStr">
        <is>
          <t>—</t>
        </is>
      </c>
      <c r="E2873" s="45" t="inlineStr">
        <is>
          <t>Interface</t>
        </is>
      </c>
      <c r="F2873" s="12" t="inlineStr">
        <is>
          <t>I2C</t>
        </is>
      </c>
    </row>
    <row r="2874" outlineLevel="1" ht="15" customHeight="1">
      <c r="A2874" s="45" t="inlineStr">
        <is>
          <t>Supply</t>
        </is>
      </c>
      <c r="B2874" s="12" t="inlineStr">
        <is>
          <t>3.3-5V</t>
        </is>
      </c>
      <c r="E2874" s="45" t="inlineStr">
        <is>
          <t>Price</t>
        </is>
      </c>
      <c r="F2874" s="12" t="inlineStr">
        <is>
          <t>$10  ($$)</t>
        </is>
      </c>
    </row>
    <row r="2875" outlineLevel="1" ht="15" customHeight="1">
      <c r="A2875" s="45" t="inlineStr">
        <is>
          <t>Difficulty</t>
        </is>
      </c>
      <c r="B2875" s="12" t="inlineStr">
        <is>
          <t>3 — Some skill — calibration, level shifting, timing, or datasheet reading required</t>
        </is>
      </c>
    </row>
    <row r="2876" outlineLevel="1" ht="27" customHeight="1">
      <c r="A2876" s="45" t="inlineStr">
        <is>
          <t>HOW</t>
        </is>
      </c>
      <c r="B2876" s="46" t="inlineStr">
        <is>
          <t>Chemistry's oldest trick (indicator dyes) digitised: a color sensor stares at indicator media and turns hue shifts into numbers — many exotic measurements for the price of one TCS34725.</t>
        </is>
      </c>
    </row>
    <row r="2877" outlineLevel="1" ht="19" customHeight="1">
      <c r="A2877" s="45" t="inlineStr">
        <is>
          <t>COMMON</t>
        </is>
      </c>
      <c r="B2877" s="46" t="inlineStr">
        <is>
          <t>Aquarium strip reading, food-spoilage indicator tags, sterilisation-tape verification.</t>
        </is>
      </c>
    </row>
    <row r="2878" outlineLevel="1" ht="25" customHeight="1">
      <c r="A2878" s="45" t="inlineStr">
        <is>
          <t>INVENTION</t>
        </is>
      </c>
      <c r="B2878" s="48" t="inlineStr">
        <is>
          <t>Anything sold as a 'color-change indicator' is now a sensor: freshness dots, autoclave tape, radon plates, water hardness — one reader, infinite cartridges.</t>
        </is>
      </c>
    </row>
    <row r="2879" outlineLevel="1" ht="15" customHeight="1">
      <c r="A2879" s="45" t="inlineStr">
        <is>
          <t>PAIRS</t>
        </is>
      </c>
      <c r="B2879" s="46" t="inlineStr">
        <is>
          <t>Servo strip-feeder for automation</t>
        </is>
      </c>
    </row>
    <row r="2880" outlineLevel="1" ht="15" customHeight="1">
      <c r="A2880" s="45" t="inlineStr">
        <is>
          <t>KEY</t>
        </is>
      </c>
      <c r="B2880" s="46" t="inlineStr">
        <is>
          <t>As good as your indicator media + calibration</t>
        </is>
      </c>
    </row>
    <row r="2881" outlineLevel="1" ht="16" customHeight="1">
      <c r="A2881" s="45" t="inlineStr">
        <is>
          <t>buy</t>
        </is>
      </c>
      <c r="B2881" s="49" t="inlineStr">
        <is>
          <t>AF · AE · DIY   |   boards: Sensor + 3D-printed dark chamber   |   lib: Adafruit_TCS34725 + curves   [High]</t>
        </is>
      </c>
    </row>
    <row r="2883" ht="22" customHeight="1">
      <c r="A2883" s="54" t="inlineStr">
        <is>
          <t>S228</t>
        </is>
      </c>
      <c r="B2883" s="55" t="inlineStr">
        <is>
          <t>Wi-Fi CSI sensing (the router IS the sensor)   ·   ESP32 CSI firmware</t>
        </is>
      </c>
    </row>
    <row r="2884" outlineLevel="1" ht="15" customHeight="1">
      <c r="A2884" s="45" t="inlineStr">
        <is>
          <t>Category</t>
        </is>
      </c>
      <c r="B2884" s="12" t="inlineStr">
        <is>
          <t>Frontier Sensing › RF sensing</t>
        </is>
      </c>
      <c r="E2884" s="45" t="inlineStr">
        <is>
          <t>Measures</t>
        </is>
      </c>
      <c r="F2884" s="12" t="inlineStr">
        <is>
          <t>Presence, motion, breathing — from Wi-Fi signal distortions</t>
        </is>
      </c>
    </row>
    <row r="2885" outlineLevel="1" ht="15" customHeight="1">
      <c r="A2885" s="45" t="inlineStr">
        <is>
          <t>Modality</t>
        </is>
      </c>
      <c r="B2885" s="12" t="inlineStr">
        <is>
          <t>—</t>
        </is>
      </c>
      <c r="E2885" s="45" t="inlineStr">
        <is>
          <t>Interface</t>
        </is>
      </c>
      <c r="F2885" s="12" t="inlineStr">
        <is>
          <t>Radio</t>
        </is>
      </c>
    </row>
    <row r="2886" outlineLevel="1" ht="15" customHeight="1">
      <c r="A2886" s="45" t="inlineStr">
        <is>
          <t>Supply</t>
        </is>
      </c>
      <c r="B2886" s="12" t="inlineStr">
        <is>
          <t>—</t>
        </is>
      </c>
      <c r="E2886" s="45" t="inlineStr">
        <is>
          <t>Price</t>
        </is>
      </c>
      <c r="F2886" s="12" t="inlineStr">
        <is>
          <t>$0  (free)</t>
        </is>
      </c>
    </row>
    <row r="2887" outlineLevel="1" ht="15" customHeight="1">
      <c r="A2887" s="45" t="inlineStr">
        <is>
          <t>Difficulty</t>
        </is>
      </c>
      <c r="B2887" s="12" t="inlineStr">
        <is>
          <t>5 — Expert — you are doing research; expect to write drivers and validate your own results</t>
        </is>
      </c>
    </row>
    <row r="2888" outlineLevel="1" ht="26" customHeight="1">
      <c r="A2888" s="45" t="inlineStr">
        <is>
          <t>HOW</t>
        </is>
      </c>
      <c r="B2888" s="46" t="inlineStr">
        <is>
          <t>Channel State Information exposes how a room's bodies and walls warp each Wi-Fi packet's path; ML on CSI streams detects people through walls with NO sensor in the room.</t>
        </is>
      </c>
    </row>
    <row r="2889" outlineLevel="1" ht="18" customHeight="1">
      <c r="A2889" s="45" t="inlineStr">
        <is>
          <t>COMMON</t>
        </is>
      </c>
      <c r="B2889" s="46" t="inlineStr">
        <is>
          <t>Through-wall presence research, sensorless smart homes, intrusion detection.</t>
        </is>
      </c>
    </row>
    <row r="2890" outlineLevel="1" ht="24" customHeight="1">
      <c r="A2890" s="45" t="inlineStr">
        <is>
          <t>INVENTION</t>
        </is>
      </c>
      <c r="B2890" s="48" t="inlineStr">
        <is>
          <t>The endgame of invisible sensing: your existing Wi-Fi chatter becomes a building-wide presence field. Two dev boards and a weekend gets first results.</t>
        </is>
      </c>
    </row>
    <row r="2891" outlineLevel="1" ht="15" customHeight="1">
      <c r="A2891" s="45" t="inlineStr">
        <is>
          <t>PAIRS</t>
        </is>
      </c>
      <c r="B2891" s="46" t="inlineStr">
        <is>
          <t>TinyML CSI classifiers, mmWave ground truth</t>
        </is>
      </c>
    </row>
    <row r="2892" outlineLevel="1" ht="16" customHeight="1">
      <c r="A2892" s="45" t="inlineStr">
        <is>
          <t>KEY</t>
        </is>
      </c>
      <c r="B2892" s="46" t="inlineStr">
        <is>
          <t>ESP32-CSI-Tool, esp-csi examples; research-grade fun</t>
        </is>
      </c>
    </row>
    <row r="2893" outlineLevel="1" ht="16" customHeight="1">
      <c r="A2893" s="45" t="inlineStr">
        <is>
          <t>buy</t>
        </is>
      </c>
      <c r="B2893" s="49" t="inlineStr">
        <is>
          <t>INC   |   boards: Any 2 ESP32s   |   lib: espressif/esp-csi   [High]</t>
        </is>
      </c>
    </row>
    <row r="2895" ht="22" customHeight="1">
      <c r="A2895" s="54" t="inlineStr">
        <is>
          <t>S229</t>
        </is>
      </c>
      <c r="B2895" s="55" t="inlineStr">
        <is>
          <t>ESP32 internal sensors (free!)   ·   Hall (classic), temp, touch</t>
        </is>
      </c>
    </row>
    <row r="2896" outlineLevel="1" ht="15" customHeight="1">
      <c r="A2896" s="45" t="inlineStr">
        <is>
          <t>Category</t>
        </is>
      </c>
      <c r="B2896" s="12" t="inlineStr">
        <is>
          <t>Frontier Sensing › Built-in freebies</t>
        </is>
      </c>
      <c r="E2896" s="45" t="inlineStr">
        <is>
          <t>Measures</t>
        </is>
      </c>
      <c r="F2896" s="12" t="inlineStr">
        <is>
          <t>Magnetic field (classic ESP32), die temp, 10x touch, RSSI</t>
        </is>
      </c>
    </row>
    <row r="2897" outlineLevel="1" ht="15" customHeight="1">
      <c r="A2897" s="45" t="inlineStr">
        <is>
          <t>Modality</t>
        </is>
      </c>
      <c r="B2897" s="12" t="inlineStr">
        <is>
          <t>—</t>
        </is>
      </c>
      <c r="E2897" s="45" t="inlineStr">
        <is>
          <t>Interface</t>
        </is>
      </c>
      <c r="F2897" s="12" t="inlineStr">
        <is>
          <t>Builtin</t>
        </is>
      </c>
    </row>
    <row r="2898" outlineLevel="1" ht="15" customHeight="1">
      <c r="A2898" s="45" t="inlineStr">
        <is>
          <t>Supply</t>
        </is>
      </c>
      <c r="B2898" s="12" t="inlineStr">
        <is>
          <t>—</t>
        </is>
      </c>
      <c r="E2898" s="45" t="inlineStr">
        <is>
          <t>Price</t>
        </is>
      </c>
      <c r="F2898" s="12" t="inlineStr">
        <is>
          <t>$0  (free)</t>
        </is>
      </c>
    </row>
    <row r="2899" outlineLevel="1" ht="15" customHeight="1">
      <c r="A2899" s="45" t="inlineStr">
        <is>
          <t>Difficulty</t>
        </is>
      </c>
      <c r="B2899" s="12" t="inlineStr">
        <is>
          <t>1 — Plug and play — Qwiic/STEMMA cable or 3 wires, library example works first time</t>
        </is>
      </c>
    </row>
    <row r="2900" outlineLevel="1" ht="25" customHeight="1">
      <c r="A2900" s="45" t="inlineStr">
        <is>
          <t>HOW</t>
        </is>
      </c>
      <c r="B2900" s="46" t="inlineStr">
        <is>
          <t>The chip you already bought includes: a hall sensor (original ESP32), internal temperature, ten touch channels, and Wi-Fi RSSI (a crude radar) — four sensors for $0.</t>
        </is>
      </c>
    </row>
    <row r="2901" outlineLevel="1" ht="18" customHeight="1">
      <c r="A2901" s="45" t="inlineStr">
        <is>
          <t>COMMON</t>
        </is>
      </c>
      <c r="B2901" s="46" t="inlineStr">
        <is>
          <t>Magnet-near detection, thermal throttling awareness, touch UI, proximity via RSSI.</t>
        </is>
      </c>
    </row>
    <row r="2902" outlineLevel="1" ht="22" customHeight="1">
      <c r="A2902" s="45" t="inlineStr">
        <is>
          <t>INVENTION</t>
        </is>
      </c>
      <c r="B2902" s="48" t="inlineStr">
        <is>
          <t>BLE RSSI of your phone = room-level 'which human is near' for zero added BOM — the laziest presence system that actually works.</t>
        </is>
      </c>
    </row>
    <row r="2903" outlineLevel="1" ht="15" customHeight="1">
      <c r="A2903" s="45" t="inlineStr">
        <is>
          <t>PAIRS</t>
        </is>
      </c>
      <c r="B2903" s="46" t="inlineStr">
        <is>
          <t>ESPresense project (room-level phone tracking)</t>
        </is>
      </c>
    </row>
    <row r="2904" outlineLevel="1" ht="43" customHeight="1">
      <c r="A2904" s="45" t="inlineStr">
        <is>
          <t>KEY</t>
        </is>
      </c>
      <c r="B2904" s="46" t="inlineStr">
        <is>
          <t>⚠ Reality check: the internal hall sensor was REMOVED in ESP-IDF v5 / Arduino core 3.x and is unavailable on newer chips; the internal temperature sensor reads self-heated die temperature and is near-useless as an ambient reading; RSSI is a link metric, not a calibrated sensor. Touch is the one genuinely useful freebie (classic/S2/S3 only — C3/C6/H2 have no touch peripheral).</t>
        </is>
      </c>
    </row>
    <row r="2905" outlineLevel="1" ht="16" customHeight="1">
      <c r="A2905" s="45" t="inlineStr">
        <is>
          <t>buy</t>
        </is>
      </c>
      <c r="B2905" s="49" t="inlineStr">
        <is>
          <t>INC   |   boards: Every ESP32   |   lib: Arduino core builtins   [High]</t>
        </is>
      </c>
    </row>
    <row r="2907" ht="22" customHeight="1">
      <c r="A2907" s="54" t="inlineStr">
        <is>
          <t>S230</t>
        </is>
      </c>
      <c r="B2907" s="55" t="inlineStr">
        <is>
          <t>Time-of-flight spectroscopy: AS7263 trick   ·   Pulse-modulated NIR</t>
        </is>
      </c>
    </row>
    <row r="2908" outlineLevel="1" ht="15" customHeight="1">
      <c r="A2908" s="45" t="inlineStr">
        <is>
          <t>Category</t>
        </is>
      </c>
      <c r="B2908" s="12" t="inlineStr">
        <is>
          <t>Frontier Sensing › Optical frontier</t>
        </is>
      </c>
      <c r="E2908" s="45" t="inlineStr">
        <is>
          <t>Measures</t>
        </is>
      </c>
      <c r="F2908" s="12" t="inlineStr">
        <is>
          <t>Material identity via NIR reflectance fingerprints</t>
        </is>
      </c>
    </row>
    <row r="2909" outlineLevel="1" ht="15" customHeight="1">
      <c r="A2909" s="45" t="inlineStr">
        <is>
          <t>Modality</t>
        </is>
      </c>
      <c r="B2909" s="12" t="inlineStr">
        <is>
          <t>—</t>
        </is>
      </c>
      <c r="E2909" s="45" t="inlineStr">
        <is>
          <t>Interface</t>
        </is>
      </c>
      <c r="F2909" s="12" t="inlineStr">
        <is>
          <t>I2C</t>
        </is>
      </c>
    </row>
    <row r="2910" outlineLevel="1" ht="15" customHeight="1">
      <c r="A2910" s="45" t="inlineStr">
        <is>
          <t>Supply</t>
        </is>
      </c>
      <c r="B2910" s="12" t="inlineStr">
        <is>
          <t>3.3V</t>
        </is>
      </c>
      <c r="E2910" s="45" t="inlineStr">
        <is>
          <t>Price</t>
        </is>
      </c>
      <c r="F2910" s="12" t="inlineStr">
        <is>
          <t>$35  ($$$)</t>
        </is>
      </c>
    </row>
    <row r="2911" outlineLevel="1" ht="15" customHeight="1">
      <c r="A2911" s="45" t="inlineStr">
        <is>
          <t>Difficulty</t>
        </is>
      </c>
      <c r="B2911" s="12" t="inlineStr">
        <is>
          <t>5 — Expert — you are doing research; expect to write drivers and validate your own results</t>
        </is>
      </c>
    </row>
    <row r="2912" outlineLevel="1" ht="25" customHeight="1">
      <c r="A2912" s="45" t="inlineStr">
        <is>
          <t>HOW</t>
        </is>
      </c>
      <c r="B2912" s="46" t="inlineStr">
        <is>
          <t>Pulse NIR LEDs at several wavelengths onto a surface and read the reflectance vector — plastics, fabrics, powders each have signatures a small classifier separates.</t>
        </is>
      </c>
    </row>
    <row r="2913" outlineLevel="1" ht="18" customHeight="1">
      <c r="A2913" s="45" t="inlineStr">
        <is>
          <t>COMMON</t>
        </is>
      </c>
      <c r="B2913" s="46" t="inlineStr">
        <is>
          <t>Recycling sorters, fabric identification for blind users, counterfeit screening.</t>
        </is>
      </c>
    </row>
    <row r="2914" outlineLevel="1" ht="23" customHeight="1">
      <c r="A2914" s="45" t="inlineStr">
        <is>
          <t>INVENTION</t>
        </is>
      </c>
      <c r="B2914" s="48" t="inlineStr">
        <is>
          <t>A handheld plastic-type gun for community recycling: point, click, 'PP #5' — solves a real sorting problem industry hasn't solved cheap.</t>
        </is>
      </c>
    </row>
    <row r="2915" outlineLevel="1" ht="15" customHeight="1">
      <c r="A2915" s="45" t="inlineStr">
        <is>
          <t>PAIRS</t>
        </is>
      </c>
      <c r="B2915" s="46" t="inlineStr">
        <is>
          <t>TinyML KNN on spectra, servo sorting gate</t>
        </is>
      </c>
    </row>
    <row r="2916" outlineLevel="1" ht="16" customHeight="1">
      <c r="A2916" s="45" t="inlineStr">
        <is>
          <t>KEY</t>
        </is>
      </c>
      <c r="B2916" s="46" t="inlineStr">
        <is>
          <t>DIY 'plastic identifier' (PET vs PP vs PE!) is achievable</t>
        </is>
      </c>
    </row>
    <row r="2917" outlineLevel="1" ht="16" customHeight="1">
      <c r="A2917" s="45" t="inlineStr">
        <is>
          <t>buy</t>
        </is>
      </c>
      <c r="B2917" s="49" t="inlineStr">
        <is>
          <t>SF · DK · DIY   |   boards: AS7263 + LED ring   |   lib: Custom + TinyML   [High]</t>
        </is>
      </c>
    </row>
    <row r="2919" ht="22" customHeight="1">
      <c r="A2919" s="54" t="inlineStr">
        <is>
          <t>S231</t>
        </is>
      </c>
      <c r="B2919" s="55" t="inlineStr">
        <is>
          <t>Capacitive rain/condensation plate   ·   DIY interdigitated PCB</t>
        </is>
      </c>
    </row>
    <row r="2920" outlineLevel="1" ht="15" customHeight="1">
      <c r="A2920" s="45" t="inlineStr">
        <is>
          <t>Category</t>
        </is>
      </c>
      <c r="B2920" s="12" t="inlineStr">
        <is>
          <t>Frontier Sensing › Surface wetness</t>
        </is>
      </c>
      <c r="E2920" s="45" t="inlineStr">
        <is>
          <t>Measures</t>
        </is>
      </c>
      <c r="F2920" s="12" t="inlineStr">
        <is>
          <t>Rain droplets, dew, frost formation on a surface</t>
        </is>
      </c>
    </row>
    <row r="2921" outlineLevel="1" ht="15" customHeight="1">
      <c r="A2921" s="45" t="inlineStr">
        <is>
          <t>Modality</t>
        </is>
      </c>
      <c r="B2921" s="12" t="inlineStr">
        <is>
          <t>—</t>
        </is>
      </c>
      <c r="E2921" s="45" t="inlineStr">
        <is>
          <t>Interface</t>
        </is>
      </c>
      <c r="F2921" s="12" t="inlineStr">
        <is>
          <t>Analog</t>
        </is>
      </c>
    </row>
    <row r="2922" outlineLevel="1" ht="15" customHeight="1">
      <c r="A2922" s="45" t="inlineStr">
        <is>
          <t>Supply</t>
        </is>
      </c>
      <c r="B2922" s="12" t="inlineStr">
        <is>
          <t>3.3V</t>
        </is>
      </c>
      <c r="E2922" s="45" t="inlineStr">
        <is>
          <t>Price</t>
        </is>
      </c>
      <c r="F2922" s="12" t="inlineStr">
        <is>
          <t>$3  ($)</t>
        </is>
      </c>
    </row>
    <row r="2923" outlineLevel="1" ht="15" customHeight="1">
      <c r="A2923" s="45" t="inlineStr">
        <is>
          <t>Difficulty</t>
        </is>
      </c>
      <c r="B2923" s="12" t="inlineStr">
        <is>
          <t>3 — Some skill — calibration, level shifting, timing, or datasheet reading required</t>
        </is>
      </c>
    </row>
    <row r="2924" outlineLevel="1" ht="24" customHeight="1">
      <c r="A2924" s="45" t="inlineStr">
        <is>
          <t>HOW</t>
        </is>
      </c>
      <c r="B2924" s="46" t="inlineStr">
        <is>
          <t>An interdigitated PCB pattern's capacitance jumps with each droplet; heated variants distinguish rain from dew from frost — your own cloud-physics station.</t>
        </is>
      </c>
    </row>
    <row r="2925" outlineLevel="1" ht="19" customHeight="1">
      <c r="A2925" s="45" t="inlineStr">
        <is>
          <t>COMMON</t>
        </is>
      </c>
      <c r="B2925" s="46" t="inlineStr">
        <is>
          <t>Rain-onset detection (faster than tipping bucket), dew/frost research, windshield-wiper logic.</t>
        </is>
      </c>
    </row>
    <row r="2926" outlineLevel="1" ht="23" customHeight="1">
      <c r="A2926" s="45" t="inlineStr">
        <is>
          <t>INVENTION</t>
        </is>
      </c>
      <c r="B2926" s="48" t="inlineStr">
        <is>
          <t>Frost prediction for gardeners: surface frost forms before air hits 0°C — a plate that texts 'cover the tomatoes NOW' beats every forecast.</t>
        </is>
      </c>
    </row>
    <row r="2927" outlineLevel="1" ht="16" customHeight="1">
      <c r="A2927" s="45" t="inlineStr">
        <is>
          <t>PAIRS</t>
        </is>
      </c>
      <c r="B2927" s="46" t="inlineStr">
        <is>
          <t>IR sky temp (MLX90614) for radiative-cooling model</t>
        </is>
      </c>
    </row>
    <row r="2928" outlineLevel="1" ht="15" customHeight="1">
      <c r="A2928" s="45" t="inlineStr">
        <is>
          <t>KEY</t>
        </is>
      </c>
      <c r="B2928" s="46" t="inlineStr">
        <is>
          <t>Order 5 PCBs for $10; heater resistor optional</t>
        </is>
      </c>
    </row>
    <row r="2929" outlineLevel="1" ht="16" customHeight="1">
      <c r="A2929" s="45" t="inlineStr">
        <is>
          <t>buy</t>
        </is>
      </c>
      <c r="B2929" s="49" t="inlineStr">
        <is>
          <t>PCB · DIY   |   boards: Custom PCB (KiCad pattern, 30 min)   |   lib: touchRead deltas   [High]</t>
        </is>
      </c>
    </row>
    <row r="2931" ht="22" customHeight="1">
      <c r="A2931" s="54" t="inlineStr">
        <is>
          <t>S232</t>
        </is>
      </c>
      <c r="B2931" s="55" t="inlineStr">
        <is>
          <t>Acoustic emission (ultrasonic contact)   ·   Piezo + 40kHz front-end</t>
        </is>
      </c>
    </row>
    <row r="2932" outlineLevel="1" ht="15" customHeight="1">
      <c r="A2932" s="45" t="inlineStr">
        <is>
          <t>Category</t>
        </is>
      </c>
      <c r="B2932" s="12" t="inlineStr">
        <is>
          <t>Frontier Sensing › Structure listening</t>
        </is>
      </c>
      <c r="E2932" s="45" t="inlineStr">
        <is>
          <t>Measures</t>
        </is>
      </c>
      <c r="F2932" s="12" t="inlineStr">
        <is>
          <t>Ultrasonic crackles INSIDE materials (cracks, leaks, arcing)</t>
        </is>
      </c>
    </row>
    <row r="2933" outlineLevel="1" ht="15" customHeight="1">
      <c r="A2933" s="45" t="inlineStr">
        <is>
          <t>Modality</t>
        </is>
      </c>
      <c r="B2933" s="12" t="inlineStr">
        <is>
          <t>—</t>
        </is>
      </c>
      <c r="E2933" s="45" t="inlineStr">
        <is>
          <t>Interface</t>
        </is>
      </c>
      <c r="F2933" s="12" t="inlineStr">
        <is>
          <t>Analog</t>
        </is>
      </c>
    </row>
    <row r="2934" outlineLevel="1" ht="15" customHeight="1">
      <c r="A2934" s="45" t="inlineStr">
        <is>
          <t>Supply</t>
        </is>
      </c>
      <c r="B2934" s="12" t="inlineStr">
        <is>
          <t>3.3-5V</t>
        </is>
      </c>
      <c r="E2934" s="45" t="inlineStr">
        <is>
          <t>Price</t>
        </is>
      </c>
      <c r="F2934" s="12" t="inlineStr">
        <is>
          <t>$10  ($$)</t>
        </is>
      </c>
    </row>
    <row r="2935" outlineLevel="1" ht="15" customHeight="1">
      <c r="A2935" s="45" t="inlineStr">
        <is>
          <t>Difficulty</t>
        </is>
      </c>
      <c r="B2935" s="12" t="inlineStr">
        <is>
          <t>5 — Expert — you are doing research; expect to write drivers and validate your own results</t>
        </is>
      </c>
    </row>
    <row r="2936" outlineLevel="1" ht="26" customHeight="1">
      <c r="A2936" s="45" t="inlineStr">
        <is>
          <t>HOW</t>
        </is>
      </c>
      <c r="B2936" s="46" t="inlineStr">
        <is>
          <t>Failing materials emit ultrasonic 'screams' long before visible cracks; a resonant piezo + amplifier tuned at 40-100kHz hears bearings dying, pipes leaking, and electrical arcing.</t>
        </is>
      </c>
    </row>
    <row r="2937" outlineLevel="1" ht="19" customHeight="1">
      <c r="A2937" s="45" t="inlineStr">
        <is>
          <t>COMMON</t>
        </is>
      </c>
      <c r="B2937" s="46" t="inlineStr">
        <is>
          <t>Compressed-air leak audits ($$$ saved), bearing prognosis, transformer arcing detection.</t>
        </is>
      </c>
    </row>
    <row r="2938" outlineLevel="1" ht="23" customHeight="1">
      <c r="A2938" s="45" t="inlineStr">
        <is>
          <t>INVENTION</t>
        </is>
      </c>
      <c r="B2938" s="48" t="inlineStr">
        <is>
          <t>Walk a factory with a parabolic ultrasonic ear: every compressed-air leak whistles at 40kHz, and each leak found pays for 100 sensors.</t>
        </is>
      </c>
    </row>
    <row r="2939" outlineLevel="1" ht="16" customHeight="1">
      <c r="A2939" s="45" t="inlineStr">
        <is>
          <t>PAIRS</t>
        </is>
      </c>
      <c r="B2939" s="46" t="inlineStr">
        <is>
          <t>Parabolic dish + headphone heterodyne, dB mapping</t>
        </is>
      </c>
    </row>
    <row r="2940" outlineLevel="1" ht="15" customHeight="1">
      <c r="A2940" s="45" t="inlineStr">
        <is>
          <t>KEY</t>
        </is>
      </c>
      <c r="B2940" s="46" t="inlineStr">
        <is>
          <t>DIY territory; envelope-detect to make it easy</t>
        </is>
      </c>
    </row>
    <row r="2941" outlineLevel="1" ht="16" customHeight="1">
      <c r="A2941" s="45" t="inlineStr">
        <is>
          <t>buy</t>
        </is>
      </c>
      <c r="B2941" s="49" t="inlineStr">
        <is>
          <t>DK · AE · DIY   |   boards: 40kHz receiver elements + opamp   |   lib: Envelope + threshold   [High]</t>
        </is>
      </c>
    </row>
    <row r="2943" ht="22" customHeight="1">
      <c r="A2943" s="54" t="inlineStr">
        <is>
          <t>S233</t>
        </is>
      </c>
      <c r="B2943" s="55" t="inlineStr">
        <is>
          <t>Soil/water nitrate ion-selective   ·   ISE nitrate probe + ADC</t>
        </is>
      </c>
    </row>
    <row r="2944" outlineLevel="1" ht="15" customHeight="1">
      <c r="A2944" s="45" t="inlineStr">
        <is>
          <t>Category</t>
        </is>
      </c>
      <c r="B2944" s="12" t="inlineStr">
        <is>
          <t>Water &amp; Liquid › Ion chemistry</t>
        </is>
      </c>
      <c r="E2944" s="45" t="inlineStr">
        <is>
          <t>Measures</t>
        </is>
      </c>
      <c r="F2944" s="12" t="inlineStr">
        <is>
          <t>Nitrate concentration (the eutrophication ion)</t>
        </is>
      </c>
    </row>
    <row r="2945" outlineLevel="1" ht="15" customHeight="1">
      <c r="A2945" s="45" t="inlineStr">
        <is>
          <t>Modality</t>
        </is>
      </c>
      <c r="B2945" s="12" t="inlineStr">
        <is>
          <t>—</t>
        </is>
      </c>
      <c r="E2945" s="45" t="inlineStr">
        <is>
          <t>Interface</t>
        </is>
      </c>
      <c r="F2945" s="12" t="inlineStr">
        <is>
          <t>Analog</t>
        </is>
      </c>
    </row>
    <row r="2946" outlineLevel="1" ht="15" customHeight="1">
      <c r="A2946" s="45" t="inlineStr">
        <is>
          <t>Supply</t>
        </is>
      </c>
      <c r="B2946" s="12" t="inlineStr">
        <is>
          <t>3.3V + buffer opamp</t>
        </is>
      </c>
      <c r="E2946" s="45" t="inlineStr">
        <is>
          <t>Price</t>
        </is>
      </c>
      <c r="F2946" s="12" t="inlineStr">
        <is>
          <t>$90  ($$$$)</t>
        </is>
      </c>
    </row>
    <row r="2947" outlineLevel="1" ht="15" customHeight="1">
      <c r="A2947" s="45" t="inlineStr">
        <is>
          <t>Difficulty</t>
        </is>
      </c>
      <c r="B2947" s="12" t="inlineStr">
        <is>
          <t>5 — Expert — you are doing research; expect to write drivers and validate your own results</t>
        </is>
      </c>
    </row>
    <row r="2948" outlineLevel="1" ht="25" customHeight="1">
      <c r="A2948" s="45" t="inlineStr">
        <is>
          <t>HOW</t>
        </is>
      </c>
      <c r="B2948" s="46" t="inlineStr">
        <is>
          <t>An ion-selective membrane develops voltage from nitrate activity specifically — runoff science and hydroponic nitrogen truth, with calibration discipline required.</t>
        </is>
      </c>
    </row>
    <row r="2949" outlineLevel="1" ht="18" customHeight="1">
      <c r="A2949" s="45" t="inlineStr">
        <is>
          <t>COMMON</t>
        </is>
      </c>
      <c r="B2949" s="46" t="inlineStr">
        <is>
          <t>Stream nitrate monitoring, fertiliser runoff studies, hydroponic N dosing.</t>
        </is>
      </c>
    </row>
    <row r="2950" outlineLevel="1" ht="24" customHeight="1">
      <c r="A2950" s="45" t="inlineStr">
        <is>
          <t>INVENTION</t>
        </is>
      </c>
      <c r="B2950" s="48" t="inlineStr">
        <is>
          <t>Adopt-a-stream nitrogen logger: weekly nitrate curves downstream of farms make invisible pollution visible — citizen science that changes policy.</t>
        </is>
      </c>
    </row>
    <row r="2951" outlineLevel="1" ht="15" customHeight="1">
      <c r="A2951" s="45" t="inlineStr">
        <is>
          <t>PAIRS</t>
        </is>
      </c>
      <c r="B2951" s="46" t="inlineStr">
        <is>
          <t>Turbidity + rain for storm-event correlation</t>
        </is>
      </c>
    </row>
    <row r="2952" outlineLevel="1" ht="15" customHeight="1">
      <c r="A2952" s="45" t="inlineStr">
        <is>
          <t>KEY</t>
        </is>
      </c>
      <c r="B2952" s="46" t="inlineStr">
        <is>
          <t>Needs high-impedance buffer (LMP7721 class)</t>
        </is>
      </c>
    </row>
    <row r="2953" outlineLevel="1" ht="16" customHeight="1">
      <c r="A2953" s="45" t="inlineStr">
        <is>
          <t>buy</t>
        </is>
      </c>
      <c r="B2953" s="49" t="inlineStr">
        <is>
          <t>AT · DK · VER   |   boards: Vernier/Atlas probes + buffer   |   lib: ADC + Nernst math   [High]</t>
        </is>
      </c>
    </row>
    <row r="2955" ht="22" customHeight="1">
      <c r="A2955" s="54" t="inlineStr">
        <is>
          <t>S234</t>
        </is>
      </c>
      <c r="B2955" s="55" t="inlineStr">
        <is>
          <t>Transit-time ultrasonic flow (clamp-on)   ·   TUF-2000M + ESP32 Modbus</t>
        </is>
      </c>
    </row>
    <row r="2956" outlineLevel="1" ht="15" customHeight="1">
      <c r="A2956" s="45" t="inlineStr">
        <is>
          <t>Category</t>
        </is>
      </c>
      <c r="B2956" s="12" t="inlineStr">
        <is>
          <t>Water &amp; Liquid › Non-invasive flow</t>
        </is>
      </c>
      <c r="E2956" s="45" t="inlineStr">
        <is>
          <t>Measures</t>
        </is>
      </c>
      <c r="F2956" s="12" t="inlineStr">
        <is>
          <t>Flow inside pipes WITHOUT cutting them (clamp-on)</t>
        </is>
      </c>
    </row>
    <row r="2957" outlineLevel="1" ht="15" customHeight="1">
      <c r="A2957" s="45" t="inlineStr">
        <is>
          <t>Modality</t>
        </is>
      </c>
      <c r="B2957" s="12" t="inlineStr">
        <is>
          <t>—</t>
        </is>
      </c>
      <c r="E2957" s="45" t="inlineStr">
        <is>
          <t>Interface</t>
        </is>
      </c>
      <c r="F2957" s="12" t="inlineStr">
        <is>
          <t>RS-485</t>
        </is>
      </c>
    </row>
    <row r="2958" outlineLevel="1" ht="15" customHeight="1">
      <c r="A2958" s="45" t="inlineStr">
        <is>
          <t>Supply</t>
        </is>
      </c>
      <c r="B2958" s="12" t="inlineStr">
        <is>
          <t>12-24V</t>
        </is>
      </c>
      <c r="E2958" s="45" t="inlineStr">
        <is>
          <t>Price</t>
        </is>
      </c>
      <c r="F2958" s="12" t="inlineStr">
        <is>
          <t>$85  ($$$$)</t>
        </is>
      </c>
    </row>
    <row r="2959" outlineLevel="1" ht="15" customHeight="1">
      <c r="A2959" s="45" t="inlineStr">
        <is>
          <t>Difficulty</t>
        </is>
      </c>
      <c r="B2959" s="12" t="inlineStr">
        <is>
          <t>4 — Advanced — analog front-ends, protocol work, mechanical integration, or real safety</t>
        </is>
      </c>
    </row>
    <row r="2960" outlineLevel="1" ht="24" customHeight="1">
      <c r="A2960" s="45" t="inlineStr">
        <is>
          <t>HOW</t>
        </is>
      </c>
      <c r="B2960" s="46" t="inlineStr">
        <is>
          <t>Ultrasonic transducers strapped outside a pipe time sound moving with vs against the flow; the difference is flow speed — industrial metering, no plumbing.</t>
        </is>
      </c>
    </row>
    <row r="2961" outlineLevel="1" ht="18" customHeight="1">
      <c r="A2961" s="45" t="inlineStr">
        <is>
          <t>COMMON</t>
        </is>
      </c>
      <c r="B2961" s="46" t="inlineStr">
        <is>
          <t>Pool/well/irrigation main metering, heat-loop balancing, leak hunting on mains.</t>
        </is>
      </c>
    </row>
    <row r="2962" outlineLevel="1" ht="22" customHeight="1">
      <c r="A2962" s="45" t="inlineStr">
        <is>
          <t>INVENTION</t>
        </is>
      </c>
      <c r="B2962" s="48" t="inlineStr">
        <is>
          <t>Audit your well pump's true output vs nameplate — clamp on, read GPM, no pipefitter. Then balance every loop in the house.</t>
        </is>
      </c>
    </row>
    <row r="2963" outlineLevel="1" ht="15" customHeight="1">
      <c r="A2963" s="45" t="inlineStr">
        <is>
          <t>PAIRS</t>
        </is>
      </c>
      <c r="B2963" s="46" t="inlineStr">
        <is>
          <t>DS18B20 pair for thermal energy metering</t>
        </is>
      </c>
    </row>
    <row r="2964" outlineLevel="1" ht="15" customHeight="1">
      <c r="A2964" s="45" t="inlineStr">
        <is>
          <t>KEY</t>
        </is>
      </c>
      <c r="B2964" s="46" t="inlineStr">
        <is>
          <t>DN20-DN6000 pipe range, ±1%</t>
        </is>
      </c>
    </row>
    <row r="2965" outlineLevel="1" ht="16" customHeight="1">
      <c r="A2965" s="45" t="inlineStr">
        <is>
          <t>buy</t>
        </is>
      </c>
      <c r="B2965" s="49" t="inlineStr">
        <is>
          <t>AE · AMZ   |   boards: TUF-2000M + clamp transducers   |   lib: ModbusMaster   [High]</t>
        </is>
      </c>
    </row>
    <row r="2967" ht="22" customHeight="1">
      <c r="A2967" s="54" t="inlineStr">
        <is>
          <t>S235</t>
        </is>
      </c>
      <c r="B2967" s="55" t="inlineStr">
        <is>
          <t>Scent delivery + e-nose loop   ·   BME688 x4 array</t>
        </is>
      </c>
    </row>
    <row r="2968" outlineLevel="1" ht="15" customHeight="1">
      <c r="A2968" s="45" t="inlineStr">
        <is>
          <t>Category</t>
        </is>
      </c>
      <c r="B2968" s="12" t="inlineStr">
        <is>
          <t>Frontier Sensing › Olfaction array</t>
        </is>
      </c>
      <c r="E2968" s="45" t="inlineStr">
        <is>
          <t>Measures</t>
        </is>
      </c>
      <c r="F2968" s="12" t="inlineStr">
        <is>
          <t>Smell classification via heater-profile sensor arrays</t>
        </is>
      </c>
    </row>
    <row r="2969" outlineLevel="1" ht="15" customHeight="1">
      <c r="A2969" s="45" t="inlineStr">
        <is>
          <t>Modality</t>
        </is>
      </c>
      <c r="B2969" s="12" t="inlineStr">
        <is>
          <t>—</t>
        </is>
      </c>
      <c r="E2969" s="45" t="inlineStr">
        <is>
          <t>Interface</t>
        </is>
      </c>
      <c r="F2969" s="12" t="inlineStr">
        <is>
          <t>I2C / SPI</t>
        </is>
      </c>
    </row>
    <row r="2970" outlineLevel="1" ht="15" customHeight="1">
      <c r="A2970" s="45" t="inlineStr">
        <is>
          <t>Supply</t>
        </is>
      </c>
      <c r="B2970" s="12" t="inlineStr">
        <is>
          <t>3.3V</t>
        </is>
      </c>
      <c r="E2970" s="45" t="inlineStr">
        <is>
          <t>Price</t>
        </is>
      </c>
      <c r="F2970" s="12" t="inlineStr">
        <is>
          <t>$60  ($$$$)</t>
        </is>
      </c>
    </row>
    <row r="2971" outlineLevel="1" ht="15" customHeight="1">
      <c r="A2971" s="45" t="inlineStr">
        <is>
          <t>Difficulty</t>
        </is>
      </c>
      <c r="B2971" s="12" t="inlineStr">
        <is>
          <t>5 — Expert — you are doing research; expect to write drivers and validate your own results</t>
        </is>
      </c>
    </row>
    <row r="2972" outlineLevel="1" ht="24" customHeight="1">
      <c r="A2972" s="45" t="inlineStr">
        <is>
          <t>HOW</t>
        </is>
      </c>
      <c r="B2972" s="46" t="inlineStr">
        <is>
          <t>Four BME688s running different heater scan profiles produce a 'smell vector'; train against labelled samples and you have a real (narrow) electronic nose.</t>
        </is>
      </c>
    </row>
    <row r="2973" outlineLevel="1" ht="19" customHeight="1">
      <c r="A2973" s="45" t="inlineStr">
        <is>
          <t>COMMON</t>
        </is>
      </c>
      <c r="B2973" s="46" t="inlineStr">
        <is>
          <t>Spoilage detection, coffee-roast profiling, leak fingerprinting, diagnostic breath research.</t>
        </is>
      </c>
    </row>
    <row r="2974" outlineLevel="1" ht="22" customHeight="1">
      <c r="A2974" s="45" t="inlineStr">
        <is>
          <t>INVENTION</t>
        </is>
      </c>
      <c r="B2974" s="48" t="inlineStr">
        <is>
          <t>A cheese-cave connoisseur: the array learns each cheese's ageing aroma arc — 'the brie peaks Thursday' as a push notification.</t>
        </is>
      </c>
    </row>
    <row r="2975" outlineLevel="1" ht="15" customHeight="1">
      <c r="A2975" s="45" t="inlineStr">
        <is>
          <t>PAIRS</t>
        </is>
      </c>
      <c r="B2975" s="46" t="inlineStr">
        <is>
          <t>SHT45 compensation, sample chamber + pump</t>
        </is>
      </c>
    </row>
    <row r="2976" outlineLevel="1" ht="15" customHeight="1">
      <c r="A2976" s="45" t="inlineStr">
        <is>
          <t>KEY</t>
        </is>
      </c>
      <c r="B2976" s="46" t="inlineStr">
        <is>
          <t>Bosch BME AI-Studio supports array training</t>
        </is>
      </c>
    </row>
    <row r="2977" outlineLevel="1" ht="16" customHeight="1">
      <c r="A2977" s="45" t="inlineStr">
        <is>
          <t>buy</t>
        </is>
      </c>
      <c r="B2977" s="49" t="inlineStr">
        <is>
          <t>DK · MO · PI   |   boards: BME688 dev kit (8x array!) exists   |   lib: BSEC2 + AI-Studio models   [High]</t>
        </is>
      </c>
    </row>
    <row r="2979" ht="22" customHeight="1">
      <c r="A2979" s="54" t="inlineStr">
        <is>
          <t>S236</t>
        </is>
      </c>
      <c r="B2979" s="55" t="inlineStr">
        <is>
          <t>Bat/dolphin: 40kHz ranging array   ·   3x HC-SR04 phased</t>
        </is>
      </c>
    </row>
    <row r="2980" outlineLevel="1" ht="15" customHeight="1">
      <c r="A2980" s="45" t="inlineStr">
        <is>
          <t>Category</t>
        </is>
      </c>
      <c r="B2980" s="12" t="inlineStr">
        <is>
          <t>Frontier Sensing › Acoustic imaging</t>
        </is>
      </c>
      <c r="E2980" s="45" t="inlineStr">
        <is>
          <t>Measures</t>
        </is>
      </c>
      <c r="F2980" s="12" t="inlineStr">
        <is>
          <t>Coarse acoustic 'images' via multiple ultrasonic angles</t>
        </is>
      </c>
    </row>
    <row r="2981" outlineLevel="1" ht="15" customHeight="1">
      <c r="A2981" s="45" t="inlineStr">
        <is>
          <t>Modality</t>
        </is>
      </c>
      <c r="B2981" s="12" t="inlineStr">
        <is>
          <t>—</t>
        </is>
      </c>
      <c r="E2981" s="45" t="inlineStr">
        <is>
          <t>Interface</t>
        </is>
      </c>
      <c r="F2981" s="12" t="inlineStr">
        <is>
          <t>Analog</t>
        </is>
      </c>
    </row>
    <row r="2982" outlineLevel="1" ht="15" customHeight="1">
      <c r="A2982" s="45" t="inlineStr">
        <is>
          <t>Supply</t>
        </is>
      </c>
      <c r="B2982" s="12" t="inlineStr">
        <is>
          <t>5V</t>
        </is>
      </c>
      <c r="E2982" s="45" t="inlineStr">
        <is>
          <t>Price</t>
        </is>
      </c>
      <c r="F2982" s="12" t="inlineStr">
        <is>
          <t>$8  ($$)</t>
        </is>
      </c>
    </row>
    <row r="2983" outlineLevel="1" ht="15" customHeight="1">
      <c r="A2983" s="45" t="inlineStr">
        <is>
          <t>Difficulty</t>
        </is>
      </c>
      <c r="B2983" s="12" t="inlineStr">
        <is>
          <t>4 — Advanced — analog front-ends, protocol work, mechanical integration, or real safety</t>
        </is>
      </c>
    </row>
    <row r="2984" outlineLevel="1" ht="23" customHeight="1">
      <c r="A2984" s="45" t="inlineStr">
        <is>
          <t>HOW</t>
        </is>
      </c>
      <c r="B2984" s="46" t="inlineStr">
        <is>
          <t>Multiple ultrasonic sensors fired in sequence from different angles build a sparse echo map — the first step toward DIY sonar imaging.</t>
        </is>
      </c>
    </row>
    <row r="2985" outlineLevel="1" ht="19" customHeight="1">
      <c r="A2985" s="45" t="inlineStr">
        <is>
          <t>COMMON</t>
        </is>
      </c>
      <c r="B2985" s="46" t="inlineStr">
        <is>
          <t>Robot spatial awareness on a budget, parking-space mapping, echo-location education.</t>
        </is>
      </c>
    </row>
    <row r="2986" outlineLevel="1" ht="24" customHeight="1">
      <c r="A2986" s="45" t="inlineStr">
        <is>
          <t>INVENTION</t>
        </is>
      </c>
      <c r="B2986" s="48" t="inlineStr">
        <is>
          <t>A wearable echolocation belt for the blind: distance from 5 directions becomes graded haptic taps around the waist — sensory substitution that works TODAY.</t>
        </is>
      </c>
    </row>
    <row r="2987" outlineLevel="1" ht="16" customHeight="1">
      <c r="A2987" s="45" t="inlineStr">
        <is>
          <t>PAIRS</t>
        </is>
      </c>
      <c r="B2987" s="46" t="inlineStr">
        <is>
          <t>5x vibration motors (haptic compass), battery pack</t>
        </is>
      </c>
    </row>
    <row r="2988" outlineLevel="1" ht="15" customHeight="1">
      <c r="A2988" s="45" t="inlineStr">
        <is>
          <t>KEY</t>
        </is>
      </c>
      <c r="B2988" s="46" t="inlineStr">
        <is>
          <t>Sequence to avoid crosstalk</t>
        </is>
      </c>
    </row>
    <row r="2989" outlineLevel="1" ht="16" customHeight="1">
      <c r="A2989" s="45" t="inlineStr">
        <is>
          <t>buy</t>
        </is>
      </c>
      <c r="B2989" s="49" t="inlineStr">
        <is>
          <t>AE · DIY   |   boards: 3-5x HC-SR04 on an arc   |   lib: Sequenced NewPing + mapping   [High]</t>
        </is>
      </c>
    </row>
    <row r="2991" ht="22" customHeight="1">
      <c r="A2991" s="54" t="inlineStr">
        <is>
          <t>S237</t>
        </is>
      </c>
      <c r="B2991" s="55" t="inlineStr">
        <is>
          <t>Atmospheric electricity (field mill lite)   ·   DIY electrode + electrometer</t>
        </is>
      </c>
    </row>
    <row r="2992" outlineLevel="1" ht="15" customHeight="1">
      <c r="A2992" s="45" t="inlineStr">
        <is>
          <t>Category</t>
        </is>
      </c>
      <c r="B2992" s="12" t="inlineStr">
        <is>
          <t>Frontier Sensing › Atmospheric physics</t>
        </is>
      </c>
      <c r="E2992" s="45" t="inlineStr">
        <is>
          <t>Measures</t>
        </is>
      </c>
      <c r="F2992" s="12" t="inlineStr">
        <is>
          <t>Static field / charged weather (storm electricity)</t>
        </is>
      </c>
    </row>
    <row r="2993" outlineLevel="1" ht="15" customHeight="1">
      <c r="A2993" s="45" t="inlineStr">
        <is>
          <t>Modality</t>
        </is>
      </c>
      <c r="B2993" s="12" t="inlineStr">
        <is>
          <t>—</t>
        </is>
      </c>
      <c r="E2993" s="45" t="inlineStr">
        <is>
          <t>Interface</t>
        </is>
      </c>
      <c r="F2993" s="12" t="inlineStr">
        <is>
          <t>Analog</t>
        </is>
      </c>
    </row>
    <row r="2994" outlineLevel="1" ht="15" customHeight="1">
      <c r="A2994" s="45" t="inlineStr">
        <is>
          <t>Supply</t>
        </is>
      </c>
      <c r="B2994" s="12" t="inlineStr">
        <is>
          <t>3.3V + LMP7721</t>
        </is>
      </c>
      <c r="E2994" s="45" t="inlineStr">
        <is>
          <t>Price</t>
        </is>
      </c>
      <c r="F2994" s="12" t="inlineStr">
        <is>
          <t>$15  ($$$)</t>
        </is>
      </c>
    </row>
    <row r="2995" outlineLevel="1" ht="15" customHeight="1">
      <c r="A2995" s="45" t="inlineStr">
        <is>
          <t>Difficulty</t>
        </is>
      </c>
      <c r="B2995" s="12" t="inlineStr">
        <is>
          <t>5 — Expert — you are doing research; expect to write drivers and validate your own results</t>
        </is>
      </c>
    </row>
    <row r="2996" outlineLevel="1" ht="27" customHeight="1">
      <c r="A2996" s="45" t="inlineStr">
        <is>
          <t>HOW</t>
        </is>
      </c>
      <c r="B2996" s="46" t="inlineStr">
        <is>
          <t>A high-impedance electrometer amplifier on an exposed electrode tracks the atmosphere's electric field — fair-weather field is ~100V/m; thunderstorms swing it wildly before strikes.</t>
        </is>
      </c>
    </row>
    <row r="2997" outlineLevel="1" ht="20" customHeight="1">
      <c r="A2997" s="45" t="inlineStr">
        <is>
          <t>COMMON</t>
        </is>
      </c>
      <c r="B2997" s="46" t="inlineStr">
        <is>
          <t>Storm-electricity research, electrostatic hazard monitoring (dust/grain), aurora-adjacent geophysics.</t>
        </is>
      </c>
    </row>
    <row r="2998" outlineLevel="1" ht="23" customHeight="1">
      <c r="A2998" s="45" t="inlineStr">
        <is>
          <t>INVENTION</t>
        </is>
      </c>
      <c r="B2998" s="48" t="inlineStr">
        <is>
          <t>Detect a storm CHARGING before the first lightning bolt exists — field swings precede strikes; AS3935 confirms with the first crack.</t>
        </is>
      </c>
    </row>
    <row r="2999" outlineLevel="1" ht="16" customHeight="1">
      <c r="A2999" s="45" t="inlineStr">
        <is>
          <t>PAIRS</t>
        </is>
      </c>
      <c r="B2999" s="46" t="inlineStr">
        <is>
          <t>AS3935 + rain plate = full storm-phenomenology node</t>
        </is>
      </c>
    </row>
    <row r="3000" outlineLevel="1" ht="15" customHeight="1">
      <c r="A3000" s="45" t="inlineStr">
        <is>
          <t>KEY</t>
        </is>
      </c>
      <c r="B3000" s="46" t="inlineStr">
        <is>
          <t>Qualitative DIY; pair with AS3935</t>
        </is>
      </c>
    </row>
    <row r="3001" outlineLevel="1" ht="16" customHeight="1">
      <c r="A3001" s="45" t="inlineStr">
        <is>
          <t>buy</t>
        </is>
      </c>
      <c r="B3001" s="49" t="inlineStr">
        <is>
          <t>DK · DIY   |   boards: Guarded PCB + TIA design   |   lib: Slow ADC + baselines   [High]</t>
        </is>
      </c>
    </row>
    <row r="3003" ht="22" customHeight="1">
      <c r="A3003" s="54" t="inlineStr">
        <is>
          <t>S238</t>
        </is>
      </c>
      <c r="B3003" s="55" t="inlineStr">
        <is>
          <t>Ground vibration fence: fiber + photodiode   ·   Cheap fiber + LED/PD</t>
        </is>
      </c>
    </row>
    <row r="3004" outlineLevel="1" ht="15" customHeight="1">
      <c r="A3004" s="45" t="inlineStr">
        <is>
          <t>Category</t>
        </is>
      </c>
      <c r="B3004" s="12" t="inlineStr">
        <is>
          <t>Frontier Sensing › Distributed sensing</t>
        </is>
      </c>
      <c r="E3004" s="45" t="inlineStr">
        <is>
          <t>Measures</t>
        </is>
      </c>
      <c r="F3004" s="12" t="inlineStr">
        <is>
          <t>Disturbance anywhere along a fiber/cable run</t>
        </is>
      </c>
    </row>
    <row r="3005" outlineLevel="1" ht="15" customHeight="1">
      <c r="A3005" s="45" t="inlineStr">
        <is>
          <t>Modality</t>
        </is>
      </c>
      <c r="B3005" s="12" t="inlineStr">
        <is>
          <t>—</t>
        </is>
      </c>
      <c r="E3005" s="45" t="inlineStr">
        <is>
          <t>Interface</t>
        </is>
      </c>
      <c r="F3005" s="12" t="inlineStr">
        <is>
          <t>Analog</t>
        </is>
      </c>
    </row>
    <row r="3006" outlineLevel="1" ht="15" customHeight="1">
      <c r="A3006" s="45" t="inlineStr">
        <is>
          <t>Supply</t>
        </is>
      </c>
      <c r="B3006" s="12" t="inlineStr">
        <is>
          <t>3.3V</t>
        </is>
      </c>
      <c r="E3006" s="45" t="inlineStr">
        <is>
          <t>Price</t>
        </is>
      </c>
      <c r="F3006" s="12" t="inlineStr">
        <is>
          <t>$10  ($$)</t>
        </is>
      </c>
    </row>
    <row r="3007" outlineLevel="1" ht="15" customHeight="1">
      <c r="A3007" s="45" t="inlineStr">
        <is>
          <t>Difficulty</t>
        </is>
      </c>
      <c r="B3007" s="12" t="inlineStr">
        <is>
          <t>4 — Advanced — analog front-ends, protocol work, mechanical integration, or real safety</t>
        </is>
      </c>
    </row>
    <row r="3008" outlineLevel="1" ht="24" customHeight="1">
      <c r="A3008" s="45" t="inlineStr">
        <is>
          <t>HOW</t>
        </is>
      </c>
      <c r="B3008" s="46" t="inlineStr">
        <is>
          <t>Light through a plastic fiber zip-tied along a fence flickers measurably when the fence is touched or climbed — one sensor, a hundred metres of coverage.</t>
        </is>
      </c>
    </row>
    <row r="3009" outlineLevel="1" ht="18" customHeight="1">
      <c r="A3009" s="45" t="inlineStr">
        <is>
          <t>COMMON</t>
        </is>
      </c>
      <c r="B3009" s="46" t="inlineStr">
        <is>
          <t>Garden/livestock fence monitoring, trellis tamper, cheap perimeter awareness.</t>
        </is>
      </c>
    </row>
    <row r="3010" outlineLevel="1" ht="23" customHeight="1">
      <c r="A3010" s="45" t="inlineStr">
        <is>
          <t>INVENTION</t>
        </is>
      </c>
      <c r="B3010" s="48" t="inlineStr">
        <is>
          <t>One fiber run watches the whole chicken fence: fox-shake vs wind learns differently — distributed sensing without distributed electronics.</t>
        </is>
      </c>
    </row>
    <row r="3011" outlineLevel="1" ht="16" customHeight="1">
      <c r="A3011" s="45" t="inlineStr">
        <is>
          <t>PAIRS</t>
        </is>
      </c>
      <c r="B3011" s="46" t="inlineStr">
        <is>
          <t>TinyML on flicker patterns, camera wake on event</t>
        </is>
      </c>
    </row>
    <row r="3012" outlineLevel="1" ht="15" customHeight="1">
      <c r="A3012" s="45" t="inlineStr">
        <is>
          <t>KEY</t>
        </is>
      </c>
      <c r="B3012" s="46" t="inlineStr">
        <is>
          <t>Microbend sensing; DIY calibration</t>
        </is>
      </c>
    </row>
    <row r="3013" outlineLevel="1" ht="16" customHeight="1">
      <c r="A3013" s="45" t="inlineStr">
        <is>
          <t>buy</t>
        </is>
      </c>
      <c r="B3013" s="49" t="inlineStr">
        <is>
          <t>AE · DIY   |   boards: POF fiber spool + LED + PD   |   lib: ADC + change detection   [High]</t>
        </is>
      </c>
    </row>
  </sheetData>
  <mergeCells count="3489">
    <mergeCell ref="B2951:H2951"/>
    <mergeCell ref="B1164:H1164"/>
    <mergeCell ref="B2532:H2532"/>
    <mergeCell ref="B1158:H1158"/>
    <mergeCell ref="B827:D827"/>
    <mergeCell ref="F2261:H2261"/>
    <mergeCell ref="B1891:H1891"/>
    <mergeCell ref="F474:H474"/>
    <mergeCell ref="F772:H772"/>
    <mergeCell ref="F2478:H2478"/>
    <mergeCell ref="F2776:H2776"/>
    <mergeCell ref="B2677:H2677"/>
    <mergeCell ref="B1916:H1916"/>
    <mergeCell ref="F2778:H2778"/>
    <mergeCell ref="F2044:H2044"/>
    <mergeCell ref="B241:D241"/>
    <mergeCell ref="B734:H734"/>
    <mergeCell ref="B2977:H2977"/>
    <mergeCell ref="B1918:H1918"/>
    <mergeCell ref="B1945:H1945"/>
    <mergeCell ref="B2216:H2216"/>
    <mergeCell ref="B213:D213"/>
    <mergeCell ref="B429:H429"/>
    <mergeCell ref="B2374:H2374"/>
    <mergeCell ref="F2344:H2344"/>
    <mergeCell ref="B465:H465"/>
    <mergeCell ref="B736:H736"/>
    <mergeCell ref="B1917:H1917"/>
    <mergeCell ref="B2672:H2672"/>
    <mergeCell ref="B1034:H1034"/>
    <mergeCell ref="B1179:D1179"/>
    <mergeCell ref="B2979:H2979"/>
    <mergeCell ref="B2369:D2369"/>
    <mergeCell ref="B1947:H1947"/>
    <mergeCell ref="B2245:H2245"/>
    <mergeCell ref="B242:D242"/>
    <mergeCell ref="B431:H431"/>
    <mergeCell ref="B880:D880"/>
    <mergeCell ref="B729:H729"/>
    <mergeCell ref="B1906:D1906"/>
    <mergeCell ref="B2674:H2674"/>
    <mergeCell ref="B2972:H2972"/>
    <mergeCell ref="B765:H765"/>
    <mergeCell ref="B2217:H2217"/>
    <mergeCell ref="F2489:H2489"/>
    <mergeCell ref="B2239:D2239"/>
    <mergeCell ref="B1180:D1180"/>
    <mergeCell ref="B2974:H2974"/>
    <mergeCell ref="F1307:H1307"/>
    <mergeCell ref="B2578:H2578"/>
    <mergeCell ref="B2876:H2876"/>
    <mergeCell ref="F1459:H1459"/>
    <mergeCell ref="F1757:H1757"/>
    <mergeCell ref="B605:H605"/>
    <mergeCell ref="B1631:H1631"/>
    <mergeCell ref="F1759:H1759"/>
    <mergeCell ref="B2603:H2603"/>
    <mergeCell ref="B2385:H2385"/>
    <mergeCell ref="B1508:H1508"/>
    <mergeCell ref="F243:H243"/>
    <mergeCell ref="B2901:H2901"/>
    <mergeCell ref="B1114:H1114"/>
    <mergeCell ref="F1460:H1460"/>
    <mergeCell ref="B2082:D2082"/>
    <mergeCell ref="B1660:H1660"/>
    <mergeCell ref="B1543:H1543"/>
    <mergeCell ref="B1321:D1321"/>
    <mergeCell ref="B2380:D2380"/>
    <mergeCell ref="B593:D593"/>
    <mergeCell ref="B442:H442"/>
    <mergeCell ref="B2836:D2836"/>
    <mergeCell ref="B600:H600"/>
    <mergeCell ref="B1116:H1116"/>
    <mergeCell ref="B1320:D1320"/>
    <mergeCell ref="B2604:H2604"/>
    <mergeCell ref="B1356:D1356"/>
    <mergeCell ref="B2289:H2289"/>
    <mergeCell ref="B2382:D2382"/>
    <mergeCell ref="F117:H117"/>
    <mergeCell ref="B1205:H1205"/>
    <mergeCell ref="B1843:H1843"/>
    <mergeCell ref="B1925:D1925"/>
    <mergeCell ref="B2902:H2902"/>
    <mergeCell ref="B2083:D2083"/>
    <mergeCell ref="B2599:D2599"/>
    <mergeCell ref="B1932:H1932"/>
    <mergeCell ref="B1322:D1322"/>
    <mergeCell ref="F2848:H2848"/>
    <mergeCell ref="B1358:D1358"/>
    <mergeCell ref="F1178:H1178"/>
    <mergeCell ref="F119:H119"/>
    <mergeCell ref="F1449:H1449"/>
    <mergeCell ref="B1656:D1656"/>
    <mergeCell ref="B2589:H2589"/>
    <mergeCell ref="B2904:H2904"/>
    <mergeCell ref="B1622:D1622"/>
    <mergeCell ref="B321:D321"/>
    <mergeCell ref="F2116:H2116"/>
    <mergeCell ref="F1355:H1355"/>
    <mergeCell ref="B1681:D1681"/>
    <mergeCell ref="B2745:H2745"/>
    <mergeCell ref="B1650:H1650"/>
    <mergeCell ref="B1040:D1040"/>
    <mergeCell ref="B621:D621"/>
    <mergeCell ref="B1554:H1554"/>
    <mergeCell ref="F2118:H2118"/>
    <mergeCell ref="F2416:H2416"/>
    <mergeCell ref="F719:H719"/>
    <mergeCell ref="B2744:H2744"/>
    <mergeCell ref="B2310:D2310"/>
    <mergeCell ref="B506:H506"/>
    <mergeCell ref="B829:H829"/>
    <mergeCell ref="B1127:H1127"/>
    <mergeCell ref="B68:H68"/>
    <mergeCell ref="B372:H372"/>
    <mergeCell ref="B2019:H2019"/>
    <mergeCell ref="B1258:H1258"/>
    <mergeCell ref="B2317:H2317"/>
    <mergeCell ref="B1556:H1556"/>
    <mergeCell ref="B2746:H2746"/>
    <mergeCell ref="B606:D606"/>
    <mergeCell ref="B2610:D2610"/>
    <mergeCell ref="B76:H76"/>
    <mergeCell ref="F2874:H2874"/>
    <mergeCell ref="B1129:H1129"/>
    <mergeCell ref="B374:H374"/>
    <mergeCell ref="B2741:D2741"/>
    <mergeCell ref="B2319:H2319"/>
    <mergeCell ref="B2617:H2617"/>
    <mergeCell ref="B830:H830"/>
    <mergeCell ref="B2014:H2014"/>
    <mergeCell ref="F347:H347"/>
    <mergeCell ref="F2861:H2861"/>
    <mergeCell ref="B1274:H1274"/>
    <mergeCell ref="F1960:H1960"/>
    <mergeCell ref="F349:H349"/>
    <mergeCell ref="F2586:H2586"/>
    <mergeCell ref="B2159:H2159"/>
    <mergeCell ref="F2129:H2129"/>
    <mergeCell ref="B819:H819"/>
    <mergeCell ref="B542:H542"/>
    <mergeCell ref="F1526:H1526"/>
    <mergeCell ref="F771:H771"/>
    <mergeCell ref="B977:H977"/>
    <mergeCell ref="B1732:H1732"/>
    <mergeCell ref="B1735:D1735"/>
    <mergeCell ref="B2161:H2161"/>
    <mergeCell ref="B2459:H2459"/>
    <mergeCell ref="B2975:H2975"/>
    <mergeCell ref="B1943:H1943"/>
    <mergeCell ref="B550:H550"/>
    <mergeCell ref="B2241:H2241"/>
    <mergeCell ref="B544:H544"/>
    <mergeCell ref="B848:H848"/>
    <mergeCell ref="B2793:H2793"/>
    <mergeCell ref="B2454:D2454"/>
    <mergeCell ref="B2752:D2752"/>
    <mergeCell ref="B2035:D2035"/>
    <mergeCell ref="B245:H245"/>
    <mergeCell ref="B1271:H1271"/>
    <mergeCell ref="B543:H543"/>
    <mergeCell ref="B2461:H2461"/>
    <mergeCell ref="B2759:H2759"/>
    <mergeCell ref="B972:H972"/>
    <mergeCell ref="B2541:H2541"/>
    <mergeCell ref="B456:H456"/>
    <mergeCell ref="B538:D538"/>
    <mergeCell ref="B2754:D2754"/>
    <mergeCell ref="B1722:D1722"/>
    <mergeCell ref="B545:H545"/>
    <mergeCell ref="B2020:D2020"/>
    <mergeCell ref="F1859:H1859"/>
    <mergeCell ref="B2244:H2244"/>
    <mergeCell ref="F789:H789"/>
    <mergeCell ref="F72:H72"/>
    <mergeCell ref="B2022:D2022"/>
    <mergeCell ref="B570:H570"/>
    <mergeCell ref="B1290:D1290"/>
    <mergeCell ref="B113:H113"/>
    <mergeCell ref="B1150:D1150"/>
    <mergeCell ref="B1448:D1448"/>
    <mergeCell ref="F2945:H2945"/>
    <mergeCell ref="B1297:H1297"/>
    <mergeCell ref="B1746:D1746"/>
    <mergeCell ref="B2688:H2688"/>
    <mergeCell ref="B2986:H2986"/>
    <mergeCell ref="B901:H901"/>
    <mergeCell ref="B876:H876"/>
    <mergeCell ref="B266:D266"/>
    <mergeCell ref="B1174:H1174"/>
    <mergeCell ref="B2085:H2085"/>
    <mergeCell ref="B695:D695"/>
    <mergeCell ref="B1628:H1628"/>
    <mergeCell ref="B1748:D1748"/>
    <mergeCell ref="B2046:D2046"/>
    <mergeCell ref="B987:D987"/>
    <mergeCell ref="B1291:D1291"/>
    <mergeCell ref="B2988:H2988"/>
    <mergeCell ref="B268:D268"/>
    <mergeCell ref="B1956:H1956"/>
    <mergeCell ref="F359:H359"/>
    <mergeCell ref="B566:D566"/>
    <mergeCell ref="B1499:H1499"/>
    <mergeCell ref="B864:D864"/>
    <mergeCell ref="B2254:H2254"/>
    <mergeCell ref="B2391:H2391"/>
    <mergeCell ref="B2689:H2689"/>
    <mergeCell ref="B598:H598"/>
    <mergeCell ref="B1928:H1928"/>
    <mergeCell ref="F54:H54"/>
    <mergeCell ref="B2841:H2841"/>
    <mergeCell ref="B1950:D1950"/>
    <mergeCell ref="F2656:H2656"/>
    <mergeCell ref="B1957:H1957"/>
    <mergeCell ref="B2386:H2386"/>
    <mergeCell ref="F2658:H2658"/>
    <mergeCell ref="F2956:H2956"/>
    <mergeCell ref="F2201:H2201"/>
    <mergeCell ref="B2106:D2106"/>
    <mergeCell ref="B2401:H2401"/>
    <mergeCell ref="B1342:H1342"/>
    <mergeCell ref="F85:H85"/>
    <mergeCell ref="B2404:D2404"/>
    <mergeCell ref="B614:H614"/>
    <mergeCell ref="B589:H589"/>
    <mergeCell ref="B2280:H2280"/>
    <mergeCell ref="B1043:H1043"/>
    <mergeCell ref="B2411:H2411"/>
    <mergeCell ref="B2709:H2709"/>
    <mergeCell ref="B624:H624"/>
    <mergeCell ref="B706:D706"/>
    <mergeCell ref="B800:H800"/>
    <mergeCell ref="B1990:H1990"/>
    <mergeCell ref="B1675:H1675"/>
    <mergeCell ref="F2226:H2226"/>
    <mergeCell ref="F141:H141"/>
    <mergeCell ref="B619:D619"/>
    <mergeCell ref="B914:H914"/>
    <mergeCell ref="B197:H197"/>
    <mergeCell ref="B279:D279"/>
    <mergeCell ref="F439:H439"/>
    <mergeCell ref="B1229:H1229"/>
    <mergeCell ref="B2704:D2704"/>
    <mergeCell ref="B2862:D2862"/>
    <mergeCell ref="B2711:H2711"/>
    <mergeCell ref="B733:D733"/>
    <mergeCell ref="B708:D708"/>
    <mergeCell ref="B1641:H1641"/>
    <mergeCell ref="B924:H924"/>
    <mergeCell ref="F1471:H1471"/>
    <mergeCell ref="B1680:D1680"/>
    <mergeCell ref="B1214:H1214"/>
    <mergeCell ref="B1972:D1972"/>
    <mergeCell ref="B184:H184"/>
    <mergeCell ref="B2407:D2407"/>
    <mergeCell ref="B1643:H1643"/>
    <mergeCell ref="B2092:D2092"/>
    <mergeCell ref="F2982:H2982"/>
    <mergeCell ref="F1502:H1502"/>
    <mergeCell ref="B1069:H1069"/>
    <mergeCell ref="F1039:H1039"/>
    <mergeCell ref="B1333:D1333"/>
    <mergeCell ref="B940:H940"/>
    <mergeCell ref="B179:H179"/>
    <mergeCell ref="B759:D759"/>
    <mergeCell ref="B1703:H1703"/>
    <mergeCell ref="B2119:D2119"/>
    <mergeCell ref="B630:D630"/>
    <mergeCell ref="B2575:D2575"/>
    <mergeCell ref="B2873:D2873"/>
    <mergeCell ref="B339:H339"/>
    <mergeCell ref="B1996:D1996"/>
    <mergeCell ref="B637:H637"/>
    <mergeCell ref="B1086:D1086"/>
    <mergeCell ref="B1357:D1357"/>
    <mergeCell ref="B1730:H1730"/>
    <mergeCell ref="B2028:H2028"/>
    <mergeCell ref="B2003:H2003"/>
    <mergeCell ref="B2326:H2326"/>
    <mergeCell ref="F154:H154"/>
    <mergeCell ref="B632:D632"/>
    <mergeCell ref="B930:D930"/>
    <mergeCell ref="B1822:D1822"/>
    <mergeCell ref="B2875:D2875"/>
    <mergeCell ref="B790:D790"/>
    <mergeCell ref="B1088:D1088"/>
    <mergeCell ref="B2418:D2418"/>
    <mergeCell ref="B2328:H2328"/>
    <mergeCell ref="B2626:H2626"/>
    <mergeCell ref="B541:H541"/>
    <mergeCell ref="F1644:H1644"/>
    <mergeCell ref="B2784:H2784"/>
    <mergeCell ref="B970:H970"/>
    <mergeCell ref="F155:H155"/>
    <mergeCell ref="B355:H355"/>
    <mergeCell ref="B2779:D2779"/>
    <mergeCell ref="B2628:H2628"/>
    <mergeCell ref="B2481:H2481"/>
    <mergeCell ref="B784:H784"/>
    <mergeCell ref="F2908:H2908"/>
    <mergeCell ref="B572:H572"/>
    <mergeCell ref="B1082:H1082"/>
    <mergeCell ref="F2609:H2609"/>
    <mergeCell ref="F1550:H1550"/>
    <mergeCell ref="B1756:H1756"/>
    <mergeCell ref="B2476:D2476"/>
    <mergeCell ref="B1416:H1416"/>
    <mergeCell ref="F2453:H2453"/>
    <mergeCell ref="B1084:H1084"/>
    <mergeCell ref="B474:D474"/>
    <mergeCell ref="B2781:H2781"/>
    <mergeCell ref="B872:H872"/>
    <mergeCell ref="B772:D772"/>
    <mergeCell ref="B2347:D2347"/>
    <mergeCell ref="B866:H866"/>
    <mergeCell ref="B111:H111"/>
    <mergeCell ref="B2773:H2773"/>
    <mergeCell ref="B1301:H1301"/>
    <mergeCell ref="B2776:D2776"/>
    <mergeCell ref="B1024:H1024"/>
    <mergeCell ref="B2652:H2652"/>
    <mergeCell ref="B1593:H1593"/>
    <mergeCell ref="B1751:H1751"/>
    <mergeCell ref="F296:H296"/>
    <mergeCell ref="B774:D774"/>
    <mergeCell ref="B996:H996"/>
    <mergeCell ref="B801:D801"/>
    <mergeCell ref="B2647:D2647"/>
    <mergeCell ref="F1268:H1268"/>
    <mergeCell ref="B1330:H1330"/>
    <mergeCell ref="F2598:H2598"/>
    <mergeCell ref="B2044:D2044"/>
    <mergeCell ref="B867:H867"/>
    <mergeCell ref="F1357:H1357"/>
    <mergeCell ref="B1835:D1835"/>
    <mergeCell ref="B2500:D2500"/>
    <mergeCell ref="F86:H86"/>
    <mergeCell ref="B1296:H1296"/>
    <mergeCell ref="B862:D862"/>
    <mergeCell ref="F2898:H2898"/>
    <mergeCell ref="F813:H813"/>
    <mergeCell ref="F1111:H1111"/>
    <mergeCell ref="B2344:D2344"/>
    <mergeCell ref="F1657:H1657"/>
    <mergeCell ref="F2322:H2322"/>
    <mergeCell ref="F684:H684"/>
    <mergeCell ref="B2196:H2196"/>
    <mergeCell ref="B585:H585"/>
    <mergeCell ref="B1014:H1014"/>
    <mergeCell ref="B2489:D2489"/>
    <mergeCell ref="B2067:H2067"/>
    <mergeCell ref="B1008:H1008"/>
    <mergeCell ref="B2496:H2496"/>
    <mergeCell ref="B1464:H1464"/>
    <mergeCell ref="B587:H587"/>
    <mergeCell ref="B2794:H2794"/>
    <mergeCell ref="B885:H885"/>
    <mergeCell ref="B2830:H2830"/>
    <mergeCell ref="B1016:H1016"/>
    <mergeCell ref="B2491:D2491"/>
    <mergeCell ref="F226:H226"/>
    <mergeCell ref="B1459:D1459"/>
    <mergeCell ref="B282:H282"/>
    <mergeCell ref="B1757:D1757"/>
    <mergeCell ref="B2947:D2947"/>
    <mergeCell ref="B711:H711"/>
    <mergeCell ref="B1764:H1764"/>
    <mergeCell ref="B2213:D2213"/>
    <mergeCell ref="B277:D277"/>
    <mergeCell ref="B1981:H1981"/>
    <mergeCell ref="F526:H526"/>
    <mergeCell ref="B1759:D1759"/>
    <mergeCell ref="B582:H582"/>
    <mergeCell ref="F1710:H1710"/>
    <mergeCell ref="F2008:H2008"/>
    <mergeCell ref="B1460:D1460"/>
    <mergeCell ref="B2215:D2215"/>
    <mergeCell ref="F2682:H2682"/>
    <mergeCell ref="F2980:H2980"/>
    <mergeCell ref="F2225:H2225"/>
    <mergeCell ref="B2281:H2281"/>
    <mergeCell ref="F826:H826"/>
    <mergeCell ref="F2010:H2010"/>
    <mergeCell ref="B727:H727"/>
    <mergeCell ref="B117:D117"/>
    <mergeCell ref="B1783:D1783"/>
    <mergeCell ref="F2525:H2525"/>
    <mergeCell ref="B2209:H2209"/>
    <mergeCell ref="B300:H300"/>
    <mergeCell ref="B422:H422"/>
    <mergeCell ref="B2883:H2883"/>
    <mergeCell ref="B1178:D1178"/>
    <mergeCell ref="B119:D119"/>
    <mergeCell ref="B2420:H2420"/>
    <mergeCell ref="B2121:H2121"/>
    <mergeCell ref="B212:H212"/>
    <mergeCell ref="B722:H722"/>
    <mergeCell ref="B206:H206"/>
    <mergeCell ref="F1309:H1309"/>
    <mergeCell ref="F554:H554"/>
    <mergeCell ref="B1694:H1694"/>
    <mergeCell ref="F877:H877"/>
    <mergeCell ref="B2116:D2116"/>
    <mergeCell ref="B2878:H2878"/>
    <mergeCell ref="B2123:H2123"/>
    <mergeCell ref="B2457:H2457"/>
    <mergeCell ref="B2118:D2118"/>
    <mergeCell ref="F2693:H2693"/>
    <mergeCell ref="F1938:H1938"/>
    <mergeCell ref="B2416:D2416"/>
    <mergeCell ref="F906:H906"/>
    <mergeCell ref="F539:H539"/>
    <mergeCell ref="F1177:H1177"/>
    <mergeCell ref="F2824:H2824"/>
    <mergeCell ref="B326:H326"/>
    <mergeCell ref="B2423:H2423"/>
    <mergeCell ref="F1633:H1633"/>
    <mergeCell ref="B1078:H1078"/>
    <mergeCell ref="F2993:H2993"/>
    <mergeCell ref="F2238:H2238"/>
    <mergeCell ref="B353:H353"/>
    <mergeCell ref="F451:H451"/>
    <mergeCell ref="B651:H651"/>
    <mergeCell ref="F2694:H2694"/>
    <mergeCell ref="F1513:H1513"/>
    <mergeCell ref="F1811:H1811"/>
    <mergeCell ref="B1378:H1378"/>
    <mergeCell ref="B743:D743"/>
    <mergeCell ref="B653:H653"/>
    <mergeCell ref="B2899:D2899"/>
    <mergeCell ref="B2439:H2439"/>
    <mergeCell ref="B354:H354"/>
    <mergeCell ref="F267:H267"/>
    <mergeCell ref="B1407:H1407"/>
    <mergeCell ref="B1714:H1714"/>
    <mergeCell ref="B1700:D1700"/>
    <mergeCell ref="B2586:D2586"/>
    <mergeCell ref="B2884:D2884"/>
    <mergeCell ref="F592:H592"/>
    <mergeCell ref="B2129:D2129"/>
    <mergeCell ref="B648:H648"/>
    <mergeCell ref="F890:H890"/>
    <mergeCell ref="B2136:H2136"/>
    <mergeCell ref="B51:H51"/>
    <mergeCell ref="B1526:D1526"/>
    <mergeCell ref="B2585:D2585"/>
    <mergeCell ref="F1697:H1697"/>
    <mergeCell ref="B2131:D2131"/>
    <mergeCell ref="B1099:D1099"/>
    <mergeCell ref="F919:H919"/>
    <mergeCell ref="B679:H679"/>
    <mergeCell ref="B2587:D2587"/>
    <mergeCell ref="B2192:H2192"/>
    <mergeCell ref="F1997:H1997"/>
    <mergeCell ref="F2320:H2320"/>
    <mergeCell ref="B1740:H1740"/>
    <mergeCell ref="B2492:H2492"/>
    <mergeCell ref="B382:H382"/>
    <mergeCell ref="B527:D527"/>
    <mergeCell ref="B2910:D2910"/>
    <mergeCell ref="B825:D825"/>
    <mergeCell ref="B2155:D2155"/>
    <mergeCell ref="B674:H674"/>
    <mergeCell ref="B1123:D1123"/>
    <mergeCell ref="F2620:H2620"/>
    <mergeCell ref="B794:H794"/>
    <mergeCell ref="B551:H551"/>
    <mergeCell ref="B1859:D1859"/>
    <mergeCell ref="B2521:H2521"/>
    <mergeCell ref="B2792:H2792"/>
    <mergeCell ref="B2819:H2819"/>
    <mergeCell ref="B72:D72"/>
    <mergeCell ref="B1005:H1005"/>
    <mergeCell ref="F918:H918"/>
    <mergeCell ref="B2950:H2950"/>
    <mergeCell ref="B1041:H1041"/>
    <mergeCell ref="B1339:H1339"/>
    <mergeCell ref="B2945:D2945"/>
    <mergeCell ref="B2523:H2523"/>
    <mergeCell ref="B1768:H1768"/>
    <mergeCell ref="F1681:H1681"/>
    <mergeCell ref="F2740:H2740"/>
    <mergeCell ref="F2765:H2765"/>
    <mergeCell ref="B2821:H2821"/>
    <mergeCell ref="F1735:H1735"/>
    <mergeCell ref="F2033:H2033"/>
    <mergeCell ref="B2205:H2205"/>
    <mergeCell ref="B2547:H2547"/>
    <mergeCell ref="B418:H418"/>
    <mergeCell ref="B89:H89"/>
    <mergeCell ref="B393:H393"/>
    <mergeCell ref="F1280:H1280"/>
    <mergeCell ref="B1664:H1664"/>
    <mergeCell ref="F2333:H2333"/>
    <mergeCell ref="B1067:H1067"/>
    <mergeCell ref="B1778:H1778"/>
    <mergeCell ref="B2971:D2971"/>
    <mergeCell ref="B2207:H2207"/>
    <mergeCell ref="B1597:D1597"/>
    <mergeCell ref="B1572:D1572"/>
    <mergeCell ref="B2505:H2505"/>
    <mergeCell ref="B420:H420"/>
    <mergeCell ref="B540:D540"/>
    <mergeCell ref="B1788:H1788"/>
    <mergeCell ref="B1895:D1895"/>
    <mergeCell ref="B693:H693"/>
    <mergeCell ref="B838:D838"/>
    <mergeCell ref="B2847:H2847"/>
    <mergeCell ref="B2081:D2081"/>
    <mergeCell ref="B1481:H1481"/>
    <mergeCell ref="B1897:D1897"/>
    <mergeCell ref="B2201:D2201"/>
    <mergeCell ref="B2956:D2956"/>
    <mergeCell ref="F878:H878"/>
    <mergeCell ref="B85:D85"/>
    <mergeCell ref="F2488:H2488"/>
    <mergeCell ref="F579:H579"/>
    <mergeCell ref="B293:H293"/>
    <mergeCell ref="B1355:D1355"/>
    <mergeCell ref="B322:H322"/>
    <mergeCell ref="B1784:D1784"/>
    <mergeCell ref="B1020:H1020"/>
    <mergeCell ref="B2226:D2226"/>
    <mergeCell ref="B141:D141"/>
    <mergeCell ref="B439:D439"/>
    <mergeCell ref="B17:H17"/>
    <mergeCell ref="F879:H879"/>
    <mergeCell ref="B148:H148"/>
    <mergeCell ref="B985:D985"/>
    <mergeCell ref="B2233:H2233"/>
    <mergeCell ref="F118:H118"/>
    <mergeCell ref="B446:H446"/>
    <mergeCell ref="B2531:H2531"/>
    <mergeCell ref="B622:H622"/>
    <mergeCell ref="F1308:H1308"/>
    <mergeCell ref="B2865:H2865"/>
    <mergeCell ref="B780:H780"/>
    <mergeCell ref="B19:H19"/>
    <mergeCell ref="B1349:H1349"/>
    <mergeCell ref="B2980:D2980"/>
    <mergeCell ref="B317:H317"/>
    <mergeCell ref="B1209:H1209"/>
    <mergeCell ref="B1507:H1507"/>
    <mergeCell ref="B448:H448"/>
    <mergeCell ref="B2982:D2982"/>
    <mergeCell ref="B746:H746"/>
    <mergeCell ref="B1502:D1502"/>
    <mergeCell ref="B1080:H1080"/>
    <mergeCell ref="B1039:D1039"/>
    <mergeCell ref="B1509:H1509"/>
    <mergeCell ref="B477:H477"/>
    <mergeCell ref="B1075:D1075"/>
    <mergeCell ref="B1807:H1807"/>
    <mergeCell ref="B775:H775"/>
    <mergeCell ref="B1046:H1046"/>
    <mergeCell ref="B2250:D2250"/>
    <mergeCell ref="B2527:D2527"/>
    <mergeCell ref="B1380:H1380"/>
    <mergeCell ref="B1960:D1960"/>
    <mergeCell ref="B2893:H2893"/>
    <mergeCell ref="B2132:H2132"/>
    <mergeCell ref="F294:H294"/>
    <mergeCell ref="F1746:H1746"/>
    <mergeCell ref="B2895:H2895"/>
    <mergeCell ref="F1782:H1782"/>
    <mergeCell ref="B159:H159"/>
    <mergeCell ref="F2080:H2080"/>
    <mergeCell ref="F1319:H1319"/>
    <mergeCell ref="B764:H764"/>
    <mergeCell ref="B154:D154"/>
    <mergeCell ref="B922:H922"/>
    <mergeCell ref="F2046:H2046"/>
    <mergeCell ref="B161:H161"/>
    <mergeCell ref="F2405:H2405"/>
    <mergeCell ref="F1321:H1321"/>
    <mergeCell ref="B25:D25"/>
    <mergeCell ref="B1133:H1133"/>
    <mergeCell ref="B2463:H2463"/>
    <mergeCell ref="B156:D156"/>
    <mergeCell ref="B1431:H1431"/>
    <mergeCell ref="B1729:H1729"/>
    <mergeCell ref="B2919:H2919"/>
    <mergeCell ref="B1222:H1222"/>
    <mergeCell ref="B1671:D1671"/>
    <mergeCell ref="B1520:H1520"/>
    <mergeCell ref="B2036:H2036"/>
    <mergeCell ref="B155:D155"/>
    <mergeCell ref="B2158:H2158"/>
    <mergeCell ref="B249:H249"/>
    <mergeCell ref="F2705:H2705"/>
    <mergeCell ref="B2194:H2194"/>
    <mergeCell ref="B795:H795"/>
    <mergeCell ref="F320:H320"/>
    <mergeCell ref="B678:H678"/>
    <mergeCell ref="B1515:D1515"/>
    <mergeCell ref="B1121:D1121"/>
    <mergeCell ref="B2153:D2153"/>
    <mergeCell ref="B2763:H2763"/>
    <mergeCell ref="B2908:D2908"/>
    <mergeCell ref="B1889:H1889"/>
    <mergeCell ref="B2160:H2160"/>
    <mergeCell ref="B1550:D1550"/>
    <mergeCell ref="B2609:D2609"/>
    <mergeCell ref="B373:H373"/>
    <mergeCell ref="B2494:H2494"/>
    <mergeCell ref="F2730:H2730"/>
    <mergeCell ref="F620:H620"/>
    <mergeCell ref="B2453:D2453"/>
    <mergeCell ref="F943:H943"/>
    <mergeCell ref="F1074:H1074"/>
    <mergeCell ref="B2611:D2611"/>
    <mergeCell ref="B2909:D2909"/>
    <mergeCell ref="F1670:H1670"/>
    <mergeCell ref="B1115:H1115"/>
    <mergeCell ref="F1243:H1243"/>
    <mergeCell ref="B1878:H1878"/>
    <mergeCell ref="B1268:D1268"/>
    <mergeCell ref="B846:H846"/>
    <mergeCell ref="B91:H91"/>
    <mergeCell ref="B1144:H1144"/>
    <mergeCell ref="B1275:H1275"/>
    <mergeCell ref="B2545:H2545"/>
    <mergeCell ref="B93:H93"/>
    <mergeCell ref="B2843:H2843"/>
    <mergeCell ref="B1146:H1146"/>
    <mergeCell ref="B1444:H1444"/>
    <mergeCell ref="B385:H385"/>
    <mergeCell ref="B689:H689"/>
    <mergeCell ref="B2336:H2336"/>
    <mergeCell ref="B2322:D2322"/>
    <mergeCell ref="F2789:H2789"/>
    <mergeCell ref="B262:H262"/>
    <mergeCell ref="B2845:H2845"/>
    <mergeCell ref="B1140:D1140"/>
    <mergeCell ref="B2636:H2636"/>
    <mergeCell ref="F1846:H1846"/>
    <mergeCell ref="F1085:H1085"/>
    <mergeCell ref="B1563:D1563"/>
    <mergeCell ref="B2622:D2622"/>
    <mergeCell ref="F2573:H2573"/>
    <mergeCell ref="F2057:H2057"/>
    <mergeCell ref="F360:H360"/>
    <mergeCell ref="F1848:H1848"/>
    <mergeCell ref="F201:H201"/>
    <mergeCell ref="F1087:H1087"/>
    <mergeCell ref="F1385:H1385"/>
    <mergeCell ref="B874:H874"/>
    <mergeCell ref="B1591:H1591"/>
    <mergeCell ref="B1172:H1172"/>
    <mergeCell ref="F2873:H2873"/>
    <mergeCell ref="B1266:D1266"/>
    <mergeCell ref="F2357:H2357"/>
    <mergeCell ref="F1086:H1086"/>
    <mergeCell ref="F2909:H2909"/>
    <mergeCell ref="B1286:H1286"/>
    <mergeCell ref="F203:H203"/>
    <mergeCell ref="B852:D852"/>
    <mergeCell ref="F361:H361"/>
    <mergeCell ref="B2680:D2680"/>
    <mergeCell ref="B1596:D1596"/>
    <mergeCell ref="B865:H865"/>
    <mergeCell ref="B444:H444"/>
    <mergeCell ref="B1281:D1281"/>
    <mergeCell ref="F790:H790"/>
    <mergeCell ref="B2687:H2687"/>
    <mergeCell ref="B1294:H1294"/>
    <mergeCell ref="F2657:H2657"/>
    <mergeCell ref="B778:H778"/>
    <mergeCell ref="B2985:H2985"/>
    <mergeCell ref="B560:H560"/>
    <mergeCell ref="B2682:D2682"/>
    <mergeCell ref="F2502:H2502"/>
    <mergeCell ref="B1505:H1505"/>
    <mergeCell ref="B2464:D2464"/>
    <mergeCell ref="B2564:H2564"/>
    <mergeCell ref="B1803:H1803"/>
    <mergeCell ref="B106:H106"/>
    <mergeCell ref="B555:D555"/>
    <mergeCell ref="B1797:H1797"/>
    <mergeCell ref="B1042:H1042"/>
    <mergeCell ref="B1124:D1124"/>
    <mergeCell ref="B2101:H2101"/>
    <mergeCell ref="B2856:H2856"/>
    <mergeCell ref="B2987:H2987"/>
    <mergeCell ref="B860:H860"/>
    <mergeCell ref="B1376:H1376"/>
    <mergeCell ref="B2335:D2335"/>
    <mergeCell ref="F2802:H2802"/>
    <mergeCell ref="F1447:H1447"/>
    <mergeCell ref="B557:D557"/>
    <mergeCell ref="B1805:H1805"/>
    <mergeCell ref="B2103:H2103"/>
    <mergeCell ref="B2248:D2248"/>
    <mergeCell ref="B1307:D1307"/>
    <mergeCell ref="F1747:H1747"/>
    <mergeCell ref="F2070:H2070"/>
    <mergeCell ref="B3003:H3003"/>
    <mergeCell ref="B2368:D2368"/>
    <mergeCell ref="B1309:D1309"/>
    <mergeCell ref="B2242:H2242"/>
    <mergeCell ref="B157:H157"/>
    <mergeCell ref="B581:D581"/>
    <mergeCell ref="B455:H455"/>
    <mergeCell ref="B430:H430"/>
    <mergeCell ref="F2370:H2370"/>
    <mergeCell ref="B491:H491"/>
    <mergeCell ref="B1821:H1821"/>
    <mergeCell ref="B2576:H2576"/>
    <mergeCell ref="B2395:D2395"/>
    <mergeCell ref="B2693:D2693"/>
    <mergeCell ref="B1938:D1938"/>
    <mergeCell ref="B2271:H2271"/>
    <mergeCell ref="B1516:H1516"/>
    <mergeCell ref="B457:H457"/>
    <mergeCell ref="B539:D539"/>
    <mergeCell ref="B906:D906"/>
    <mergeCell ref="B755:H755"/>
    <mergeCell ref="B120:D120"/>
    <mergeCell ref="B2272:D2272"/>
    <mergeCell ref="B2700:H2700"/>
    <mergeCell ref="B2998:H2998"/>
    <mergeCell ref="B913:H913"/>
    <mergeCell ref="B1633:D1633"/>
    <mergeCell ref="B2243:H2243"/>
    <mergeCell ref="B2279:H2279"/>
    <mergeCell ref="B2695:D2695"/>
    <mergeCell ref="B2577:H2577"/>
    <mergeCell ref="B1518:H1518"/>
    <mergeCell ref="F101:H101"/>
    <mergeCell ref="B908:D908"/>
    <mergeCell ref="B1816:H1816"/>
    <mergeCell ref="B2156:H2156"/>
    <mergeCell ref="B451:D451"/>
    <mergeCell ref="B2238:D2238"/>
    <mergeCell ref="B2993:D2993"/>
    <mergeCell ref="B3000:H3000"/>
    <mergeCell ref="B2694:D2694"/>
    <mergeCell ref="B1091:H1091"/>
    <mergeCell ref="B458:H458"/>
    <mergeCell ref="B1213:H1213"/>
    <mergeCell ref="B2185:H2185"/>
    <mergeCell ref="F730:H730"/>
    <mergeCell ref="B786:H786"/>
    <mergeCell ref="B2602:H2602"/>
    <mergeCell ref="F2825:H2825"/>
    <mergeCell ref="F425:H425"/>
    <mergeCell ref="F2106:H2106"/>
    <mergeCell ref="F2429:H2429"/>
    <mergeCell ref="F732:H732"/>
    <mergeCell ref="B817:H817"/>
    <mergeCell ref="B2001:H2001"/>
    <mergeCell ref="B1246:H1246"/>
    <mergeCell ref="B2305:H2305"/>
    <mergeCell ref="B1569:H1569"/>
    <mergeCell ref="B176:H176"/>
    <mergeCell ref="B296:D296"/>
    <mergeCell ref="B1544:H1544"/>
    <mergeCell ref="B512:H512"/>
    <mergeCell ref="B783:H783"/>
    <mergeCell ref="B1232:D1232"/>
    <mergeCell ref="B468:H468"/>
    <mergeCell ref="B1842:H1842"/>
    <mergeCell ref="B1867:H1867"/>
    <mergeCell ref="F2729:H2729"/>
    <mergeCell ref="B1539:D1539"/>
    <mergeCell ref="B1117:H1117"/>
    <mergeCell ref="B2452:D2452"/>
    <mergeCell ref="B1697:D1697"/>
    <mergeCell ref="B1571:H1571"/>
    <mergeCell ref="B2605:H2605"/>
    <mergeCell ref="B2928:H2928"/>
    <mergeCell ref="B1869:H1869"/>
    <mergeCell ref="B2903:H2903"/>
    <mergeCell ref="B1529:H1529"/>
    <mergeCell ref="B812:H812"/>
    <mergeCell ref="B202:D202"/>
    <mergeCell ref="B473:D473"/>
    <mergeCell ref="B919:D919"/>
    <mergeCell ref="B1905:H1905"/>
    <mergeCell ref="B1997:D1997"/>
    <mergeCell ref="B2320:D2320"/>
    <mergeCell ref="B1898:H1898"/>
    <mergeCell ref="B2169:H2169"/>
    <mergeCell ref="F24:H24"/>
    <mergeCell ref="F295:H295"/>
    <mergeCell ref="B2327:H2327"/>
    <mergeCell ref="F2142:H2142"/>
    <mergeCell ref="B1145:H1145"/>
    <mergeCell ref="F2117:H2117"/>
    <mergeCell ref="B2620:D2620"/>
    <mergeCell ref="B349:D349"/>
    <mergeCell ref="B198:H198"/>
    <mergeCell ref="F2442:H2442"/>
    <mergeCell ref="B1931:H1931"/>
    <mergeCell ref="F655:H655"/>
    <mergeCell ref="B1170:H1170"/>
    <mergeCell ref="B226:D226"/>
    <mergeCell ref="B2765:D2765"/>
    <mergeCell ref="B2740:D2740"/>
    <mergeCell ref="B2343:H2343"/>
    <mergeCell ref="B1284:H1284"/>
    <mergeCell ref="B1259:H1259"/>
    <mergeCell ref="B1626:H1626"/>
    <mergeCell ref="B2772:H2772"/>
    <mergeCell ref="B1245:D1245"/>
    <mergeCell ref="F2742:H2742"/>
    <mergeCell ref="B2231:H2231"/>
    <mergeCell ref="B1621:D1621"/>
    <mergeCell ref="B2948:H2948"/>
    <mergeCell ref="B2529:H2529"/>
    <mergeCell ref="F1870:H1870"/>
    <mergeCell ref="B1710:D1710"/>
    <mergeCell ref="B2643:H2643"/>
    <mergeCell ref="B2033:D2033"/>
    <mergeCell ref="B1171:H1171"/>
    <mergeCell ref="B2008:D2008"/>
    <mergeCell ref="B856:H856"/>
    <mergeCell ref="B1285:H1285"/>
    <mergeCell ref="F682:H682"/>
    <mergeCell ref="F1872:H1872"/>
    <mergeCell ref="F473:H473"/>
    <mergeCell ref="B1280:D1280"/>
    <mergeCell ref="B858:H858"/>
    <mergeCell ref="B2010:D2010"/>
    <mergeCell ref="B861:D861"/>
    <mergeCell ref="B2333:D2333"/>
    <mergeCell ref="B1913:H1913"/>
    <mergeCell ref="B2943:H2943"/>
    <mergeCell ref="F683:H683"/>
    <mergeCell ref="F1709:H1709"/>
    <mergeCell ref="B128:H128"/>
    <mergeCell ref="B1181:H1181"/>
    <mergeCell ref="B1312:H1312"/>
    <mergeCell ref="B1616:H1616"/>
    <mergeCell ref="B217:H217"/>
    <mergeCell ref="B362:D362"/>
    <mergeCell ref="B1944:H1944"/>
    <mergeCell ref="B1311:H1311"/>
    <mergeCell ref="B579:D579"/>
    <mergeCell ref="B1334:D1334"/>
    <mergeCell ref="B1487:H1487"/>
    <mergeCell ref="B877:D877"/>
    <mergeCell ref="B2373:H2373"/>
    <mergeCell ref="B2696:H2696"/>
    <mergeCell ref="B586:H586"/>
    <mergeCell ref="B1639:H1639"/>
    <mergeCell ref="B884:H884"/>
    <mergeCell ref="B1721:D1721"/>
    <mergeCell ref="B2359:D2359"/>
    <mergeCell ref="B123:H123"/>
    <mergeCell ref="F2310:H2310"/>
    <mergeCell ref="F401:H401"/>
    <mergeCell ref="B879:D879"/>
    <mergeCell ref="B1634:D1634"/>
    <mergeCell ref="B2824:D2824"/>
    <mergeCell ref="B1177:D1177"/>
    <mergeCell ref="B118:D118"/>
    <mergeCell ref="F1585:H1585"/>
    <mergeCell ref="F2644:H2644"/>
    <mergeCell ref="B1308:D1308"/>
    <mergeCell ref="F1883:H1883"/>
    <mergeCell ref="B886:H886"/>
    <mergeCell ref="B2996:H2996"/>
    <mergeCell ref="F1122:H1122"/>
    <mergeCell ref="B1184:H1184"/>
    <mergeCell ref="B2659:D2659"/>
    <mergeCell ref="F2610:H2610"/>
    <mergeCell ref="F2969:H2969"/>
    <mergeCell ref="F2944:H2944"/>
    <mergeCell ref="B1635:D1635"/>
    <mergeCell ref="B2699:H2699"/>
    <mergeCell ref="F2910:H2910"/>
    <mergeCell ref="F825:H825"/>
    <mergeCell ref="B2084:H2084"/>
    <mergeCell ref="F2394:H2394"/>
    <mergeCell ref="F2946:H2946"/>
    <mergeCell ref="B2301:H2301"/>
    <mergeCell ref="F696:H696"/>
    <mergeCell ref="B902:H902"/>
    <mergeCell ref="B2086:H2086"/>
    <mergeCell ref="B2724:H2724"/>
    <mergeCell ref="B721:D721"/>
    <mergeCell ref="B299:H299"/>
    <mergeCell ref="B1629:H1629"/>
    <mergeCell ref="B597:H597"/>
    <mergeCell ref="B2601:H2601"/>
    <mergeCell ref="B1542:H1542"/>
    <mergeCell ref="B294:D294"/>
    <mergeCell ref="B932:D932"/>
    <mergeCell ref="B1840:H1840"/>
    <mergeCell ref="B592:D592"/>
    <mergeCell ref="B1230:D1230"/>
    <mergeCell ref="B808:H808"/>
    <mergeCell ref="B890:D890"/>
    <mergeCell ref="B2501:D2501"/>
    <mergeCell ref="B2537:D2537"/>
    <mergeCell ref="B2080:D2080"/>
    <mergeCell ref="B2595:H2595"/>
    <mergeCell ref="B2715:H2715"/>
    <mergeCell ref="B599:H599"/>
    <mergeCell ref="B1237:H1237"/>
    <mergeCell ref="B1319:D1319"/>
    <mergeCell ref="B897:H897"/>
    <mergeCell ref="B2725:H2725"/>
    <mergeCell ref="B2801:D2801"/>
    <mergeCell ref="F414:H414"/>
    <mergeCell ref="B892:D892"/>
    <mergeCell ref="B2285:D2285"/>
    <mergeCell ref="B2837:D2837"/>
    <mergeCell ref="F1598:H1598"/>
    <mergeCell ref="B1050:D1050"/>
    <mergeCell ref="B2405:D2405"/>
    <mergeCell ref="B899:H899"/>
    <mergeCell ref="F538:H538"/>
    <mergeCell ref="F22:H22"/>
    <mergeCell ref="F2536:H2536"/>
    <mergeCell ref="B2705:D2705"/>
    <mergeCell ref="B200:H200"/>
    <mergeCell ref="B1253:H1253"/>
    <mergeCell ref="B194:H194"/>
    <mergeCell ref="B618:D618"/>
    <mergeCell ref="F2237:H2237"/>
    <mergeCell ref="B492:H492"/>
    <mergeCell ref="F2992:H2992"/>
    <mergeCell ref="F838:H838"/>
    <mergeCell ref="B1044:H1044"/>
    <mergeCell ref="F1810:H1810"/>
    <mergeCell ref="B2314:H2314"/>
    <mergeCell ref="B2730:D2730"/>
    <mergeCell ref="B500:H500"/>
    <mergeCell ref="B620:D620"/>
    <mergeCell ref="B645:D645"/>
    <mergeCell ref="B494:H494"/>
    <mergeCell ref="B943:D943"/>
    <mergeCell ref="B521:H521"/>
    <mergeCell ref="B918:D918"/>
    <mergeCell ref="B798:H798"/>
    <mergeCell ref="B1553:H1553"/>
    <mergeCell ref="B2431:D2431"/>
    <mergeCell ref="B2737:H2737"/>
    <mergeCell ref="B950:H950"/>
    <mergeCell ref="B195:H195"/>
    <mergeCell ref="B2316:H2316"/>
    <mergeCell ref="B231:H231"/>
    <mergeCell ref="B2614:H2614"/>
    <mergeCell ref="B529:H529"/>
    <mergeCell ref="B1243:D1243"/>
    <mergeCell ref="B1713:H1713"/>
    <mergeCell ref="B2731:D2731"/>
    <mergeCell ref="B495:H495"/>
    <mergeCell ref="B2767:D2767"/>
    <mergeCell ref="F462:H462"/>
    <mergeCell ref="F1950:H1950"/>
    <mergeCell ref="F1986:H1986"/>
    <mergeCell ref="B2367:H2367"/>
    <mergeCell ref="B968:H968"/>
    <mergeCell ref="B549:H549"/>
    <mergeCell ref="B656:D656"/>
    <mergeCell ref="B2456:H2456"/>
    <mergeCell ref="B1846:D1846"/>
    <mergeCell ref="F2286:H2286"/>
    <mergeCell ref="B663:H663"/>
    <mergeCell ref="F1525:H1525"/>
    <mergeCell ref="B1734:D1734"/>
    <mergeCell ref="F1823:H1823"/>
    <mergeCell ref="B1912:H1912"/>
    <mergeCell ref="B360:D360"/>
    <mergeCell ref="B2029:H2029"/>
    <mergeCell ref="B2667:H2667"/>
    <mergeCell ref="B2965:H2965"/>
    <mergeCell ref="B2458:H2458"/>
    <mergeCell ref="B1848:D1848"/>
    <mergeCell ref="B201:D201"/>
    <mergeCell ref="B2064:H2064"/>
    <mergeCell ref="B2756:H2756"/>
    <mergeCell ref="B969:H969"/>
    <mergeCell ref="B1607:H1607"/>
    <mergeCell ref="B963:H963"/>
    <mergeCell ref="B208:H208"/>
    <mergeCell ref="B1941:H1941"/>
    <mergeCell ref="B882:H882"/>
    <mergeCell ref="B2967:H2967"/>
    <mergeCell ref="B1935:H1935"/>
    <mergeCell ref="B203:D203"/>
    <mergeCell ref="B361:D361"/>
    <mergeCell ref="B210:H210"/>
    <mergeCell ref="B994:H994"/>
    <mergeCell ref="B2657:D2657"/>
    <mergeCell ref="B2055:H2055"/>
    <mergeCell ref="B684:D684"/>
    <mergeCell ref="F1121:H1121"/>
    <mergeCell ref="B1327:H1327"/>
    <mergeCell ref="B1447:D1447"/>
    <mergeCell ref="B1625:H1625"/>
    <mergeCell ref="B270:H270"/>
    <mergeCell ref="B1745:D1745"/>
    <mergeCell ref="B1619:H1619"/>
    <mergeCell ref="B1655:H1655"/>
    <mergeCell ref="F694:H694"/>
    <mergeCell ref="B1022:H1022"/>
    <mergeCell ref="B1627:H1627"/>
    <mergeCell ref="B1747:D1747"/>
    <mergeCell ref="B1350:H1350"/>
    <mergeCell ref="B595:H595"/>
    <mergeCell ref="B1772:D1772"/>
    <mergeCell ref="B2070:D2070"/>
    <mergeCell ref="B893:H893"/>
    <mergeCell ref="B2077:H2077"/>
    <mergeCell ref="B2526:D2526"/>
    <mergeCell ref="B1954:H1954"/>
    <mergeCell ref="B895:H895"/>
    <mergeCell ref="B1344:D1344"/>
    <mergeCell ref="B2370:D2370"/>
    <mergeCell ref="B1351:H1351"/>
    <mergeCell ref="F2777:H2777"/>
    <mergeCell ref="F1596:H1596"/>
    <mergeCell ref="B1780:H1780"/>
    <mergeCell ref="F1894:H1894"/>
    <mergeCell ref="B1346:D1346"/>
    <mergeCell ref="B1048:H1048"/>
    <mergeCell ref="B1382:H1382"/>
    <mergeCell ref="B323:H323"/>
    <mergeCell ref="B2408:H2408"/>
    <mergeCell ref="B309:D309"/>
    <mergeCell ref="B735:H735"/>
    <mergeCell ref="B1348:H1348"/>
    <mergeCell ref="F1597:H1597"/>
    <mergeCell ref="F1895:H1895"/>
    <mergeCell ref="B1491:D1491"/>
    <mergeCell ref="B2739:H2739"/>
    <mergeCell ref="B1340:H1340"/>
    <mergeCell ref="B623:H623"/>
    <mergeCell ref="B730:D730"/>
    <mergeCell ref="B1676:H1676"/>
    <mergeCell ref="B921:H921"/>
    <mergeCell ref="B1370:D1370"/>
    <mergeCell ref="B1980:H1980"/>
    <mergeCell ref="B2005:H2005"/>
    <mergeCell ref="F438:H438"/>
    <mergeCell ref="B1648:H1648"/>
    <mergeCell ref="F2681:H2681"/>
    <mergeCell ref="F1622:H1622"/>
    <mergeCell ref="B732:D732"/>
    <mergeCell ref="B1074:D1074"/>
    <mergeCell ref="B1684:H1684"/>
    <mergeCell ref="F1165:H1165"/>
    <mergeCell ref="B2007:H2007"/>
    <mergeCell ref="B1670:D1670"/>
    <mergeCell ref="B2436:H2436"/>
    <mergeCell ref="B2770:H2770"/>
    <mergeCell ref="F2981:H2981"/>
    <mergeCell ref="F1167:H1167"/>
    <mergeCell ref="B2307:H2307"/>
    <mergeCell ref="B2736:H2736"/>
    <mergeCell ref="F862:H862"/>
    <mergeCell ref="B1366:H1366"/>
    <mergeCell ref="B334:H334"/>
    <mergeCell ref="F1948:H1948"/>
    <mergeCell ref="B2572:D2572"/>
    <mergeCell ref="B1420:H1420"/>
    <mergeCell ref="B1811:D1811"/>
    <mergeCell ref="B634:H634"/>
    <mergeCell ref="B24:D24"/>
    <mergeCell ref="B2147:H2147"/>
    <mergeCell ref="B1512:D1512"/>
    <mergeCell ref="B2538:D2538"/>
    <mergeCell ref="F2248:H2248"/>
    <mergeCell ref="B2574:D2574"/>
    <mergeCell ref="B2796:H2796"/>
    <mergeCell ref="B1422:H1422"/>
    <mergeCell ref="B2448:H2448"/>
    <mergeCell ref="B2117:D2117"/>
    <mergeCell ref="B1720:H1720"/>
    <mergeCell ref="B661:H661"/>
    <mergeCell ref="B965:H965"/>
    <mergeCell ref="B1085:D1085"/>
    <mergeCell ref="B2872:D2872"/>
    <mergeCell ref="B2149:H2149"/>
    <mergeCell ref="B2447:H2447"/>
    <mergeCell ref="B1812:D1812"/>
    <mergeCell ref="B669:H669"/>
    <mergeCell ref="B1112:D1112"/>
    <mergeCell ref="B1087:D1087"/>
    <mergeCell ref="B1385:D1385"/>
    <mergeCell ref="B2449:H2449"/>
    <mergeCell ref="F1974:H1974"/>
    <mergeCell ref="F277:H277"/>
    <mergeCell ref="F2308:H2308"/>
    <mergeCell ref="B2051:H2051"/>
    <mergeCell ref="B992:H992"/>
    <mergeCell ref="F2152:H2152"/>
    <mergeCell ref="B1870:D1870"/>
    <mergeCell ref="F2274:H2274"/>
    <mergeCell ref="B2480:H2480"/>
    <mergeCell ref="B49:H49"/>
    <mergeCell ref="F2608:H2608"/>
    <mergeCell ref="B1877:H1877"/>
    <mergeCell ref="B2808:H2808"/>
    <mergeCell ref="F1847:H1847"/>
    <mergeCell ref="B2053:H2053"/>
    <mergeCell ref="B2175:H2175"/>
    <mergeCell ref="B2351:H2351"/>
    <mergeCell ref="B682:D682"/>
    <mergeCell ref="B464:D464"/>
    <mergeCell ref="B2509:H2509"/>
    <mergeCell ref="B558:H558"/>
    <mergeCell ref="B2780:H2780"/>
    <mergeCell ref="B993:H993"/>
    <mergeCell ref="B1436:D1436"/>
    <mergeCell ref="B2475:H2475"/>
    <mergeCell ref="B988:D988"/>
    <mergeCell ref="B2511:H2511"/>
    <mergeCell ref="F802:H802"/>
    <mergeCell ref="B254:D254"/>
    <mergeCell ref="B2782:H2782"/>
    <mergeCell ref="B2809:H2809"/>
    <mergeCell ref="B2048:H2048"/>
    <mergeCell ref="B1438:D1438"/>
    <mergeCell ref="B683:D683"/>
    <mergeCell ref="B261:H261"/>
    <mergeCell ref="B2775:H2775"/>
    <mergeCell ref="B690:H690"/>
    <mergeCell ref="B256:D256"/>
    <mergeCell ref="B554:D554"/>
    <mergeCell ref="B2193:H2193"/>
    <mergeCell ref="F2321:H2321"/>
    <mergeCell ref="B1590:H1590"/>
    <mergeCell ref="F1560:H1560"/>
    <mergeCell ref="B1888:H1888"/>
    <mergeCell ref="B401:D401"/>
    <mergeCell ref="F2452:H2452"/>
    <mergeCell ref="B250:H250"/>
    <mergeCell ref="B2493:H2493"/>
    <mergeCell ref="F202:H202"/>
    <mergeCell ref="B408:H408"/>
    <mergeCell ref="B1883:D1883"/>
    <mergeCell ref="F2621:H2621"/>
    <mergeCell ref="B1890:H1890"/>
    <mergeCell ref="B2944:D2944"/>
    <mergeCell ref="B410:H410"/>
    <mergeCell ref="B1885:D1885"/>
    <mergeCell ref="B1463:H1463"/>
    <mergeCell ref="B1006:H1006"/>
    <mergeCell ref="B1151:D1151"/>
    <mergeCell ref="B1884:D1884"/>
    <mergeCell ref="F1278:H1278"/>
    <mergeCell ref="B281:H281"/>
    <mergeCell ref="B1978:H1978"/>
    <mergeCell ref="B2946:D2946"/>
    <mergeCell ref="B267:D267"/>
    <mergeCell ref="B1375:H1375"/>
    <mergeCell ref="B2850:D2850"/>
    <mergeCell ref="F973:H973"/>
    <mergeCell ref="B696:D696"/>
    <mergeCell ref="F1190:H1190"/>
    <mergeCell ref="B1668:D1668"/>
    <mergeCell ref="B2214:D2214"/>
    <mergeCell ref="F975:H975"/>
    <mergeCell ref="B1362:H1362"/>
    <mergeCell ref="F1490:H1490"/>
    <mergeCell ref="B121:H121"/>
    <mergeCell ref="F2680:H2680"/>
    <mergeCell ref="B1057:H1057"/>
    <mergeCell ref="F1621:H1621"/>
    <mergeCell ref="B1093:H1093"/>
    <mergeCell ref="B1364:H1364"/>
    <mergeCell ref="B1813:D1813"/>
    <mergeCell ref="B1391:H1391"/>
    <mergeCell ref="B332:H332"/>
    <mergeCell ref="B414:D414"/>
    <mergeCell ref="B1662:H1662"/>
    <mergeCell ref="B2277:H2277"/>
    <mergeCell ref="B421:H421"/>
    <mergeCell ref="B416:D416"/>
    <mergeCell ref="B1691:H1691"/>
    <mergeCell ref="B2881:H2881"/>
    <mergeCell ref="B175:H175"/>
    <mergeCell ref="B295:D295"/>
    <mergeCell ref="B2120:H2120"/>
    <mergeCell ref="B2563:D2563"/>
    <mergeCell ref="B1359:H1359"/>
    <mergeCell ref="B1517:H1517"/>
    <mergeCell ref="B1599:D1599"/>
    <mergeCell ref="B2992:D2992"/>
    <mergeCell ref="B1693:H1693"/>
    <mergeCell ref="B1991:H1991"/>
    <mergeCell ref="F1332:H1332"/>
    <mergeCell ref="B1810:D1810"/>
    <mergeCell ref="B1388:H1388"/>
    <mergeCell ref="F2692:H2692"/>
    <mergeCell ref="F607:H607"/>
    <mergeCell ref="F1937:H1937"/>
    <mergeCell ref="F2814:H2814"/>
    <mergeCell ref="F905:H905"/>
    <mergeCell ref="B1383:D1383"/>
    <mergeCell ref="F2850:H2850"/>
    <mergeCell ref="F1203:H1203"/>
    <mergeCell ref="F2393:H2393"/>
    <mergeCell ref="F1632:H1632"/>
    <mergeCell ref="B806:H806"/>
    <mergeCell ref="B1077:H1077"/>
    <mergeCell ref="B45:H45"/>
    <mergeCell ref="B343:H343"/>
    <mergeCell ref="F907:H907"/>
    <mergeCell ref="B1235:H1235"/>
    <mergeCell ref="B1533:H1533"/>
    <mergeCell ref="F1634:H1634"/>
    <mergeCell ref="B1446:H1446"/>
    <mergeCell ref="B1106:H1106"/>
    <mergeCell ref="B47:H47"/>
    <mergeCell ref="B351:H351"/>
    <mergeCell ref="B1744:H1744"/>
    <mergeCell ref="B1535:H1535"/>
    <mergeCell ref="B1833:H1833"/>
    <mergeCell ref="B2471:H2471"/>
    <mergeCell ref="B46:H46"/>
    <mergeCell ref="B462:D462"/>
    <mergeCell ref="B804:D804"/>
    <mergeCell ref="B1072:H1072"/>
    <mergeCell ref="B2507:H2507"/>
    <mergeCell ref="B2805:H2805"/>
    <mergeCell ref="B1108:H1108"/>
    <mergeCell ref="F2718:H2718"/>
    <mergeCell ref="B1406:H1406"/>
    <mergeCell ref="F931:H931"/>
    <mergeCell ref="B41:D41"/>
    <mergeCell ref="B1986:D1986"/>
    <mergeCell ref="B2284:D2284"/>
    <mergeCell ref="B2133:H2133"/>
    <mergeCell ref="B48:H48"/>
    <mergeCell ref="B1101:H1101"/>
    <mergeCell ref="B346:H346"/>
    <mergeCell ref="B2807:H2807"/>
    <mergeCell ref="F1231:H1231"/>
    <mergeCell ref="B2286:D2286"/>
    <mergeCell ref="B2584:D2584"/>
    <mergeCell ref="B1525:D1525"/>
    <mergeCell ref="F1345:H1345"/>
    <mergeCell ref="B1823:D1823"/>
    <mergeCell ref="B1132:H1132"/>
    <mergeCell ref="B371:H371"/>
    <mergeCell ref="F2406:H2406"/>
    <mergeCell ref="F1985:H1985"/>
    <mergeCell ref="B1134:H1134"/>
    <mergeCell ref="B1432:H1432"/>
    <mergeCell ref="B677:H677"/>
    <mergeCell ref="B1886:H1886"/>
    <mergeCell ref="F773:H773"/>
    <mergeCell ref="B2184:H2184"/>
    <mergeCell ref="B1549:D1549"/>
    <mergeCell ref="B2220:H2220"/>
    <mergeCell ref="B1465:H1465"/>
    <mergeCell ref="B406:H406"/>
    <mergeCell ref="F2285:H2285"/>
    <mergeCell ref="B2518:H2518"/>
    <mergeCell ref="B2649:H2649"/>
    <mergeCell ref="B1122:D1122"/>
    <mergeCell ref="B1915:H1915"/>
    <mergeCell ref="B2635:D2635"/>
    <mergeCell ref="F1073:H1073"/>
    <mergeCell ref="F318:H318"/>
    <mergeCell ref="B1551:D1551"/>
    <mergeCell ref="B1849:D1849"/>
    <mergeCell ref="B2520:H2520"/>
    <mergeCell ref="B2818:H2818"/>
    <mergeCell ref="B1004:H1004"/>
    <mergeCell ref="B2949:H2949"/>
    <mergeCell ref="B1302:H1302"/>
    <mergeCell ref="F1075:H1075"/>
    <mergeCell ref="B2935:D2935"/>
    <mergeCell ref="F618:H618"/>
    <mergeCell ref="B2820:H2820"/>
    <mergeCell ref="F1698:H1698"/>
    <mergeCell ref="F1734:H1734"/>
    <mergeCell ref="F2032:H2032"/>
    <mergeCell ref="F2154:H2154"/>
    <mergeCell ref="B2973:H2973"/>
    <mergeCell ref="B2968:D2968"/>
    <mergeCell ref="F1998:H1998"/>
    <mergeCell ref="B1936:D1936"/>
    <mergeCell ref="B2844:H2844"/>
    <mergeCell ref="B417:H417"/>
    <mergeCell ref="B537:D537"/>
    <mergeCell ref="B1470:H1470"/>
    <mergeCell ref="B1785:H1785"/>
    <mergeCell ref="F2332:H2332"/>
    <mergeCell ref="B2197:H2197"/>
    <mergeCell ref="B112:H112"/>
    <mergeCell ref="F974:H974"/>
    <mergeCell ref="B2871:H2871"/>
    <mergeCell ref="B1478:H1478"/>
    <mergeCell ref="B419:H419"/>
    <mergeCell ref="B1600:H1600"/>
    <mergeCell ref="F1758:H1758"/>
    <mergeCell ref="B717:H717"/>
    <mergeCell ref="F242:H242"/>
    <mergeCell ref="B2236:D2236"/>
    <mergeCell ref="B298:H298"/>
    <mergeCell ref="B1786:H1786"/>
    <mergeCell ref="F2058:H2058"/>
    <mergeCell ref="F999:H999"/>
    <mergeCell ref="B1168:D1168"/>
    <mergeCell ref="B2536:D2536"/>
    <mergeCell ref="B2237:D2237"/>
    <mergeCell ref="B1959:H1959"/>
    <mergeCell ref="F998:H998"/>
    <mergeCell ref="B443:H443"/>
    <mergeCell ref="F2358:H2358"/>
    <mergeCell ref="B438:D438"/>
    <mergeCell ref="F2812:H2812"/>
    <mergeCell ref="B16:H16"/>
    <mergeCell ref="B138:H138"/>
    <mergeCell ref="B2681:D2681"/>
    <mergeCell ref="B2259:H2259"/>
    <mergeCell ref="B1200:H1200"/>
    <mergeCell ref="B445:H445"/>
    <mergeCell ref="B1504:H1504"/>
    <mergeCell ref="B1933:H1933"/>
    <mergeCell ref="B18:H18"/>
    <mergeCell ref="B140:H140"/>
    <mergeCell ref="B1506:H1506"/>
    <mergeCell ref="B2981:D2981"/>
    <mergeCell ref="B1804:H1804"/>
    <mergeCell ref="B1949:D1949"/>
    <mergeCell ref="B797:H797"/>
    <mergeCell ref="B3013:H3013"/>
    <mergeCell ref="B11:H11"/>
    <mergeCell ref="B1623:D1623"/>
    <mergeCell ref="B591:D591"/>
    <mergeCell ref="B889:D889"/>
    <mergeCell ref="B2592:H2592"/>
    <mergeCell ref="B2890:H2890"/>
    <mergeCell ref="B1831:H1831"/>
    <mergeCell ref="B1951:D1951"/>
    <mergeCell ref="B2173:H2173"/>
    <mergeCell ref="F255:H255"/>
    <mergeCell ref="F2200:H2200"/>
    <mergeCell ref="B2900:H2900"/>
    <mergeCell ref="F413:H413"/>
    <mergeCell ref="B891:D891"/>
    <mergeCell ref="B2473:H2473"/>
    <mergeCell ref="B2915:H2915"/>
    <mergeCell ref="B1128:H1128"/>
    <mergeCell ref="F2202:H2202"/>
    <mergeCell ref="F415:H415"/>
    <mergeCell ref="F1745:H1745"/>
    <mergeCell ref="B1557:H1557"/>
    <mergeCell ref="B1191:D1191"/>
    <mergeCell ref="F1011:H1011"/>
    <mergeCell ref="B158:H158"/>
    <mergeCell ref="B1094:H1094"/>
    <mergeCell ref="B1130:H1130"/>
    <mergeCell ref="B1428:H1428"/>
    <mergeCell ref="B369:H369"/>
    <mergeCell ref="B667:H667"/>
    <mergeCell ref="B1559:H1559"/>
    <mergeCell ref="B1857:H1857"/>
    <mergeCell ref="B160:H160"/>
    <mergeCell ref="B609:D609"/>
    <mergeCell ref="B368:H368"/>
    <mergeCell ref="B1038:D1038"/>
    <mergeCell ref="B2911:D2911"/>
    <mergeCell ref="B1430:H1430"/>
    <mergeCell ref="B1552:H1552"/>
    <mergeCell ref="B1728:H1728"/>
    <mergeCell ref="B1588:H1588"/>
    <mergeCell ref="B2308:D2308"/>
    <mergeCell ref="B1131:H1131"/>
    <mergeCell ref="B2157:H2157"/>
    <mergeCell ref="B1125:H1125"/>
    <mergeCell ref="B370:H370"/>
    <mergeCell ref="B2315:H2315"/>
    <mergeCell ref="B2613:H2613"/>
    <mergeCell ref="B2152:D2152"/>
    <mergeCell ref="F642:H642"/>
    <mergeCell ref="F2130:H2130"/>
    <mergeCell ref="B2608:D2608"/>
    <mergeCell ref="F731:H731"/>
    <mergeCell ref="F1369:H1369"/>
    <mergeCell ref="B1847:D1847"/>
    <mergeCell ref="F608:H608"/>
    <mergeCell ref="B2615:H2615"/>
    <mergeCell ref="B2913:H2913"/>
    <mergeCell ref="F644:H644"/>
    <mergeCell ref="F942:H942"/>
    <mergeCell ref="B1270:H1270"/>
    <mergeCell ref="F2430:H2430"/>
    <mergeCell ref="F643:H643"/>
    <mergeCell ref="F1669:H1669"/>
    <mergeCell ref="B843:H843"/>
    <mergeCell ref="B88:H88"/>
    <mergeCell ref="F2886:H2886"/>
    <mergeCell ref="B1272:H1272"/>
    <mergeCell ref="B809:H809"/>
    <mergeCell ref="B2026:H2026"/>
    <mergeCell ref="B967:H967"/>
    <mergeCell ref="B2542:H2542"/>
    <mergeCell ref="B1143:H1143"/>
    <mergeCell ref="B388:H388"/>
    <mergeCell ref="B510:H510"/>
    <mergeCell ref="B1265:H1265"/>
    <mergeCell ref="B2631:H2631"/>
    <mergeCell ref="B546:H546"/>
    <mergeCell ref="B2021:D2021"/>
    <mergeCell ref="B844:H844"/>
    <mergeCell ref="B83:H83"/>
    <mergeCell ref="B2544:H2544"/>
    <mergeCell ref="B1273:H1273"/>
    <mergeCell ref="B2842:H2842"/>
    <mergeCell ref="B2778:D2778"/>
    <mergeCell ref="B2023:D2023"/>
    <mergeCell ref="B2321:D2321"/>
    <mergeCell ref="B2959:D2959"/>
    <mergeCell ref="F23:H23"/>
    <mergeCell ref="B1560:D1560"/>
    <mergeCell ref="F2272:H2272"/>
    <mergeCell ref="B383:H383"/>
    <mergeCell ref="B1567:H1567"/>
    <mergeCell ref="B957:D957"/>
    <mergeCell ref="B2323:D2323"/>
    <mergeCell ref="B2230:H2230"/>
    <mergeCell ref="B2621:D2621"/>
    <mergeCell ref="F2020:H2020"/>
    <mergeCell ref="F2572:H2572"/>
    <mergeCell ref="B2255:H2255"/>
    <mergeCell ref="F656:H656"/>
    <mergeCell ref="B1278:D1278"/>
    <mergeCell ref="F2574:H2574"/>
    <mergeCell ref="F2872:H2872"/>
    <mergeCell ref="F2356:H2356"/>
    <mergeCell ref="B2684:H2684"/>
    <mergeCell ref="B259:H259"/>
    <mergeCell ref="B530:H530"/>
    <mergeCell ref="B1923:H1923"/>
    <mergeCell ref="B2221:H2221"/>
    <mergeCell ref="B136:H136"/>
    <mergeCell ref="B973:D973"/>
    <mergeCell ref="B2257:H2257"/>
    <mergeCell ref="B1647:D1647"/>
    <mergeCell ref="B2555:H2555"/>
    <mergeCell ref="B470:H470"/>
    <mergeCell ref="B1496:H1496"/>
    <mergeCell ref="B1800:H1800"/>
    <mergeCell ref="B2686:H2686"/>
    <mergeCell ref="B13:H13"/>
    <mergeCell ref="B2984:H2984"/>
    <mergeCell ref="B1952:H1952"/>
    <mergeCell ref="B559:H559"/>
    <mergeCell ref="F84:H84"/>
    <mergeCell ref="F1110:H1110"/>
    <mergeCell ref="B1197:H1197"/>
    <mergeCell ref="B436:H436"/>
    <mergeCell ref="B1495:H1495"/>
    <mergeCell ref="B2034:D2034"/>
    <mergeCell ref="B2557:H2557"/>
    <mergeCell ref="B2251:D2251"/>
    <mergeCell ref="B2679:H2679"/>
    <mergeCell ref="B770:H770"/>
    <mergeCell ref="B2252:H2252"/>
    <mergeCell ref="B1497:H1497"/>
    <mergeCell ref="B2556:H2556"/>
    <mergeCell ref="F378:H378"/>
    <mergeCell ref="B101:D101"/>
    <mergeCell ref="F1769:H1769"/>
    <mergeCell ref="B976:D976"/>
    <mergeCell ref="B1070:H1070"/>
    <mergeCell ref="B1948:D1948"/>
    <mergeCell ref="B2397:H2397"/>
    <mergeCell ref="F1436:H1436"/>
    <mergeCell ref="F1472:H1472"/>
    <mergeCell ref="F1770:H1770"/>
    <mergeCell ref="F1009:H1009"/>
    <mergeCell ref="B1215:H1215"/>
    <mergeCell ref="B454:H454"/>
    <mergeCell ref="B2399:H2399"/>
    <mergeCell ref="B2848:D2848"/>
    <mergeCell ref="B2697:H2697"/>
    <mergeCell ref="B612:H612"/>
    <mergeCell ref="B1332:D1332"/>
    <mergeCell ref="B1638:H1638"/>
    <mergeCell ref="B910:H910"/>
    <mergeCell ref="B193:H193"/>
    <mergeCell ref="B1942:H1942"/>
    <mergeCell ref="B2278:H2278"/>
    <mergeCell ref="B149:H149"/>
    <mergeCell ref="B2914:H2914"/>
    <mergeCell ref="B2692:D2692"/>
    <mergeCell ref="B607:D607"/>
    <mergeCell ref="B1637:H1637"/>
    <mergeCell ref="B905:D905"/>
    <mergeCell ref="B1673:H1673"/>
    <mergeCell ref="F2224:H2224"/>
    <mergeCell ref="B2393:D2393"/>
    <mergeCell ref="B1971:H1971"/>
    <mergeCell ref="B912:H912"/>
    <mergeCell ref="F437:H437"/>
    <mergeCell ref="B1632:D1632"/>
    <mergeCell ref="B1210:H1210"/>
    <mergeCell ref="B2400:H2400"/>
    <mergeCell ref="B2916:H2916"/>
    <mergeCell ref="B2698:H2698"/>
    <mergeCell ref="B907:D907"/>
    <mergeCell ref="F2524:H2524"/>
    <mergeCell ref="B1212:H1212"/>
    <mergeCell ref="B182:H182"/>
    <mergeCell ref="B631:D631"/>
    <mergeCell ref="F851:H851"/>
    <mergeCell ref="F1027:H1027"/>
    <mergeCell ref="B638:H638"/>
    <mergeCell ref="F1149:H1149"/>
    <mergeCell ref="B2723:H2723"/>
    <mergeCell ref="B936:H936"/>
    <mergeCell ref="F1500:H1500"/>
    <mergeCell ref="F2849:H2849"/>
    <mergeCell ref="B1961:D1961"/>
    <mergeCell ref="F1037:H1037"/>
    <mergeCell ref="B2718:D2718"/>
    <mergeCell ref="F5:H5"/>
    <mergeCell ref="B318:D318"/>
    <mergeCell ref="B931:D931"/>
    <mergeCell ref="B1541:H1541"/>
    <mergeCell ref="B170:D170"/>
    <mergeCell ref="F1151:H1151"/>
    <mergeCell ref="B938:H938"/>
    <mergeCell ref="B1658:D1658"/>
    <mergeCell ref="B1236:H1236"/>
    <mergeCell ref="B177:H177"/>
    <mergeCell ref="F1783:H1783"/>
    <mergeCell ref="B2627:H2627"/>
    <mergeCell ref="B1231:D1231"/>
    <mergeCell ref="B172:D172"/>
    <mergeCell ref="B2024:H2024"/>
    <mergeCell ref="B2719:D2719"/>
    <mergeCell ref="B1263:H1263"/>
    <mergeCell ref="B1238:H1238"/>
    <mergeCell ref="B1345:D1345"/>
    <mergeCell ref="B2629:H2629"/>
    <mergeCell ref="B2751:H2751"/>
    <mergeCell ref="B2927:H2927"/>
    <mergeCell ref="B842:H842"/>
    <mergeCell ref="B1233:D1233"/>
    <mergeCell ref="B2324:H2324"/>
    <mergeCell ref="F450:H450"/>
    <mergeCell ref="B1987:D1987"/>
    <mergeCell ref="B773:D773"/>
    <mergeCell ref="F1536:H1536"/>
    <mergeCell ref="B2624:H2624"/>
    <mergeCell ref="F2896:H2896"/>
    <mergeCell ref="B2050:H2050"/>
    <mergeCell ref="B1073:D1073"/>
    <mergeCell ref="F2597:H2597"/>
    <mergeCell ref="F1538:H1538"/>
    <mergeCell ref="F1836:H1836"/>
    <mergeCell ref="B1325:H1325"/>
    <mergeCell ref="B944:D944"/>
    <mergeCell ref="B2769:H2769"/>
    <mergeCell ref="B2052:H2052"/>
    <mergeCell ref="B2350:H2350"/>
    <mergeCell ref="B347:D347"/>
    <mergeCell ref="B1589:H1589"/>
    <mergeCell ref="B196:H196"/>
    <mergeCell ref="F2897:H2897"/>
    <mergeCell ref="B257:H257"/>
    <mergeCell ref="B870:H870"/>
    <mergeCell ref="B1283:H1283"/>
    <mergeCell ref="B2771:H2771"/>
    <mergeCell ref="B1162:H1162"/>
    <mergeCell ref="B984:H984"/>
    <mergeCell ref="B2352:H2352"/>
    <mergeCell ref="B2675:H2675"/>
    <mergeCell ref="B1282:H1282"/>
    <mergeCell ref="B2650:H2650"/>
    <mergeCell ref="F837:H837"/>
    <mergeCell ref="B2645:D2645"/>
    <mergeCell ref="B855:H855"/>
    <mergeCell ref="B2223:H2223"/>
    <mergeCell ref="F1266:H1266"/>
    <mergeCell ref="B2803:D2803"/>
    <mergeCell ref="F1137:H1137"/>
    <mergeCell ref="B2332:D2332"/>
    <mergeCell ref="B125:H125"/>
    <mergeCell ref="F1109:H1109"/>
    <mergeCell ref="B1758:D1758"/>
    <mergeCell ref="B359:D359"/>
    <mergeCell ref="B1765:H1765"/>
    <mergeCell ref="B2063:H2063"/>
    <mergeCell ref="B276:H276"/>
    <mergeCell ref="A2:H2"/>
    <mergeCell ref="F1138:H1138"/>
    <mergeCell ref="F2164:H2164"/>
    <mergeCell ref="F377:H377"/>
    <mergeCell ref="B999:D999"/>
    <mergeCell ref="B583:H583"/>
    <mergeCell ref="B577:H577"/>
    <mergeCell ref="B881:H881"/>
    <mergeCell ref="B2058:D2058"/>
    <mergeCell ref="B2065:H2065"/>
    <mergeCell ref="B2514:D2514"/>
    <mergeCell ref="B2363:H2363"/>
    <mergeCell ref="B1304:H1304"/>
    <mergeCell ref="B998:D998"/>
    <mergeCell ref="B883:H883"/>
    <mergeCell ref="B2358:D2358"/>
    <mergeCell ref="F2309:H2309"/>
    <mergeCell ref="B2732:H2732"/>
    <mergeCell ref="B2814:D2814"/>
    <mergeCell ref="B2059:D2059"/>
    <mergeCell ref="B1000:D1000"/>
    <mergeCell ref="B1969:H1969"/>
    <mergeCell ref="B2267:H2267"/>
    <mergeCell ref="B2398:H2398"/>
    <mergeCell ref="F1279:H1279"/>
    <mergeCell ref="B723:H723"/>
    <mergeCell ref="B2292:H2292"/>
    <mergeCell ref="B207:H207"/>
    <mergeCell ref="B2721:H2721"/>
    <mergeCell ref="B636:H636"/>
    <mergeCell ref="B934:H934"/>
    <mergeCell ref="B1771:D1771"/>
    <mergeCell ref="B2879:H2879"/>
    <mergeCell ref="B173:H173"/>
    <mergeCell ref="B255:D255"/>
    <mergeCell ref="B725:H725"/>
    <mergeCell ref="B2200:D2200"/>
    <mergeCell ref="B413:D413"/>
    <mergeCell ref="B507:H507"/>
    <mergeCell ref="B2417:D2417"/>
    <mergeCell ref="B1995:H1995"/>
    <mergeCell ref="B2293:H2293"/>
    <mergeCell ref="B596:H596"/>
    <mergeCell ref="B1234:H1234"/>
    <mergeCell ref="B1532:H1532"/>
    <mergeCell ref="B2202:D2202"/>
    <mergeCell ref="B2424:H2424"/>
    <mergeCell ref="B2722:H2722"/>
    <mergeCell ref="B1474:D1474"/>
    <mergeCell ref="B415:D415"/>
    <mergeCell ref="B1690:H1690"/>
    <mergeCell ref="B1323:H1323"/>
    <mergeCell ref="B291:H291"/>
    <mergeCell ref="B807:H807"/>
    <mergeCell ref="B1011:D1011"/>
    <mergeCell ref="F2994:H2994"/>
    <mergeCell ref="B2717:D2717"/>
    <mergeCell ref="B2295:H2295"/>
    <mergeCell ref="B2593:H2593"/>
    <mergeCell ref="B508:H508"/>
    <mergeCell ref="B1692:H1692"/>
    <mergeCell ref="B1985:D1985"/>
    <mergeCell ref="F1936:H1936"/>
    <mergeCell ref="F537:H537"/>
    <mergeCell ref="F1202:H1202"/>
    <mergeCell ref="F143:H143"/>
    <mergeCell ref="B1679:H1679"/>
    <mergeCell ref="B647:H647"/>
    <mergeCell ref="F2105:H2105"/>
    <mergeCell ref="B1374:H1374"/>
    <mergeCell ref="F2236:H2236"/>
    <mergeCell ref="B2885:D2885"/>
    <mergeCell ref="B2130:D2130"/>
    <mergeCell ref="B2656:D2656"/>
    <mergeCell ref="B1708:H1708"/>
    <mergeCell ref="B649:H649"/>
    <mergeCell ref="B731:D731"/>
    <mergeCell ref="B1369:D1369"/>
    <mergeCell ref="B947:H947"/>
    <mergeCell ref="B192:H192"/>
    <mergeCell ref="B337:D337"/>
    <mergeCell ref="B2137:H2137"/>
    <mergeCell ref="B2892:H2892"/>
    <mergeCell ref="B1105:H1105"/>
    <mergeCell ref="B1825:D1825"/>
    <mergeCell ref="B2435:H2435"/>
    <mergeCell ref="B1403:H1403"/>
    <mergeCell ref="B222:H222"/>
    <mergeCell ref="B344:H344"/>
    <mergeCell ref="B1064:D1064"/>
    <mergeCell ref="B1674:H1674"/>
    <mergeCell ref="B2348:H2348"/>
    <mergeCell ref="B63:H63"/>
    <mergeCell ref="B1100:D1100"/>
    <mergeCell ref="B2430:D2430"/>
    <mergeCell ref="B949:H949"/>
    <mergeCell ref="B643:D643"/>
    <mergeCell ref="B1398:D1398"/>
    <mergeCell ref="B221:H221"/>
    <mergeCell ref="B1669:D1669"/>
    <mergeCell ref="B2139:H2139"/>
    <mergeCell ref="B2437:H2437"/>
    <mergeCell ref="B2886:D2886"/>
    <mergeCell ref="B2760:H2760"/>
    <mergeCell ref="B1405:H1405"/>
    <mergeCell ref="B650:H650"/>
    <mergeCell ref="B2735:H2735"/>
    <mergeCell ref="B948:H948"/>
    <mergeCell ref="F1220:H1220"/>
    <mergeCell ref="B1698:D1698"/>
    <mergeCell ref="F1858:H1858"/>
    <mergeCell ref="F2404:H2404"/>
    <mergeCell ref="B1705:H1705"/>
    <mergeCell ref="B675:H675"/>
    <mergeCell ref="F1344:H1344"/>
    <mergeCell ref="F1860:H1860"/>
    <mergeCell ref="F461:H461"/>
    <mergeCell ref="B1998:D1998"/>
    <mergeCell ref="B248:H248"/>
    <mergeCell ref="F2704:H2704"/>
    <mergeCell ref="F1949:H1949"/>
    <mergeCell ref="F917:H917"/>
    <mergeCell ref="B1394:H1394"/>
    <mergeCell ref="F2921:H2921"/>
    <mergeCell ref="B660:H660"/>
    <mergeCell ref="B1850:H1850"/>
    <mergeCell ref="B1089:H1089"/>
    <mergeCell ref="B1387:H1387"/>
    <mergeCell ref="B1763:H1763"/>
    <mergeCell ref="B2061:H2061"/>
    <mergeCell ref="B1306:H1306"/>
    <mergeCell ref="B1426:D1426"/>
    <mergeCell ref="B2898:D2898"/>
    <mergeCell ref="B1111:D1111"/>
    <mergeCell ref="B1300:H1300"/>
    <mergeCell ref="B1604:H1604"/>
    <mergeCell ref="B350:D350"/>
    <mergeCell ref="B205:H205"/>
    <mergeCell ref="B1640:H1640"/>
    <mergeCell ref="B363:H363"/>
    <mergeCell ref="B2361:H2361"/>
    <mergeCell ref="B574:H574"/>
    <mergeCell ref="F487:H487"/>
    <mergeCell ref="B1411:D1411"/>
    <mergeCell ref="B2519:H2519"/>
    <mergeCell ref="B2817:H2817"/>
    <mergeCell ref="B1003:H1003"/>
    <mergeCell ref="F2334:H2334"/>
    <mergeCell ref="B1337:H1337"/>
    <mergeCell ref="B2812:D2812"/>
    <mergeCell ref="F1573:H1573"/>
    <mergeCell ref="F1548:H1548"/>
    <mergeCell ref="F1871:H1871"/>
    <mergeCell ref="B2506:H2506"/>
    <mergeCell ref="B839:D839"/>
    <mergeCell ref="B84:D84"/>
    <mergeCell ref="F2634:H2634"/>
    <mergeCell ref="F2932:H2932"/>
    <mergeCell ref="B2535:H2535"/>
    <mergeCell ref="B1476:H1476"/>
    <mergeCell ref="F515:H515"/>
    <mergeCell ref="B2806:H2806"/>
    <mergeCell ref="B1774:H1774"/>
    <mergeCell ref="B1019:H1019"/>
    <mergeCell ref="B1139:D1139"/>
    <mergeCell ref="B2964:H2964"/>
    <mergeCell ref="B1437:D1437"/>
    <mergeCell ref="B378:D378"/>
    <mergeCell ref="F849:H849"/>
    <mergeCell ref="F2934:H2934"/>
    <mergeCell ref="B714:H714"/>
    <mergeCell ref="B2835:H2835"/>
    <mergeCell ref="B1776:H1776"/>
    <mergeCell ref="B1021:H1021"/>
    <mergeCell ref="B2225:D2225"/>
    <mergeCell ref="B2074:H2074"/>
    <mergeCell ref="B709:D709"/>
    <mergeCell ref="B287:H287"/>
    <mergeCell ref="B2530:H2530"/>
    <mergeCell ref="B1775:H1775"/>
    <mergeCell ref="B594:H594"/>
    <mergeCell ref="B2191:D2191"/>
    <mergeCell ref="B2227:D2227"/>
    <mergeCell ref="B1472:D1472"/>
    <mergeCell ref="B2720:H2720"/>
    <mergeCell ref="B2525:D2525"/>
    <mergeCell ref="B1770:D1770"/>
    <mergeCell ref="B289:H289"/>
    <mergeCell ref="B1009:D1009"/>
    <mergeCell ref="F2476:H2476"/>
    <mergeCell ref="B1479:H1479"/>
    <mergeCell ref="B1777:H1777"/>
    <mergeCell ref="B747:H747"/>
    <mergeCell ref="B2825:D2825"/>
    <mergeCell ref="F1586:H1586"/>
    <mergeCell ref="B1795:D1795"/>
    <mergeCell ref="F2021:H2021"/>
    <mergeCell ref="B8:D8"/>
    <mergeCell ref="B434:H434"/>
    <mergeCell ref="B1802:H1802"/>
    <mergeCell ref="B437:D437"/>
    <mergeCell ref="B1909:D1909"/>
    <mergeCell ref="B15:H15"/>
    <mergeCell ref="B2100:H2100"/>
    <mergeCell ref="B313:H313"/>
    <mergeCell ref="B305:H305"/>
    <mergeCell ref="B308:D308"/>
    <mergeCell ref="B2108:H2108"/>
    <mergeCell ref="B2551:D2551"/>
    <mergeCell ref="B1347:H1347"/>
    <mergeCell ref="B1796:D1796"/>
    <mergeCell ref="B1032:H1032"/>
    <mergeCell ref="B315:H315"/>
    <mergeCell ref="B2135:H2135"/>
    <mergeCell ref="F130:H130"/>
    <mergeCell ref="B608:D608"/>
    <mergeCell ref="B1500:D1500"/>
    <mergeCell ref="F1320:H1320"/>
    <mergeCell ref="B2433:H2433"/>
    <mergeCell ref="B1401:H1401"/>
    <mergeCell ref="B2427:H2427"/>
    <mergeCell ref="B2851:D2851"/>
    <mergeCell ref="B1037:D1037"/>
    <mergeCell ref="B615:H615"/>
    <mergeCell ref="B5:D5"/>
    <mergeCell ref="F254:H254"/>
    <mergeCell ref="B460:H460"/>
    <mergeCell ref="F1645:H1645"/>
    <mergeCell ref="F1620:H1620"/>
    <mergeCell ref="B2733:H2733"/>
    <mergeCell ref="B1701:H1701"/>
    <mergeCell ref="B1937:D1937"/>
    <mergeCell ref="F2706:H2706"/>
    <mergeCell ref="F590:H590"/>
    <mergeCell ref="B1427:H1427"/>
    <mergeCell ref="B34:H34"/>
    <mergeCell ref="B450:D450"/>
    <mergeCell ref="B28:H28"/>
    <mergeCell ref="B1419:H1419"/>
    <mergeCell ref="B23:D23"/>
    <mergeCell ref="B2907:H2907"/>
    <mergeCell ref="B2146:H2146"/>
    <mergeCell ref="B1429:H1429"/>
    <mergeCell ref="B1536:D1536"/>
    <mergeCell ref="B452:D452"/>
    <mergeCell ref="B1727:H1727"/>
    <mergeCell ref="B30:H30"/>
    <mergeCell ref="B1841:H1841"/>
    <mergeCell ref="F1244:H1244"/>
    <mergeCell ref="F185:H185"/>
    <mergeCell ref="B2017:H2017"/>
    <mergeCell ref="B2148:H2148"/>
    <mergeCell ref="B1538:D1538"/>
    <mergeCell ref="B1513:D1513"/>
    <mergeCell ref="B2446:H2446"/>
    <mergeCell ref="B1836:D1836"/>
    <mergeCell ref="B2597:D2597"/>
    <mergeCell ref="B659:H659"/>
    <mergeCell ref="F2728:H2728"/>
    <mergeCell ref="F1973:H1973"/>
    <mergeCell ref="B2897:D2897"/>
    <mergeCell ref="F1658:H1658"/>
    <mergeCell ref="F941:H941"/>
    <mergeCell ref="F186:H186"/>
    <mergeCell ref="B2478:D2478"/>
    <mergeCell ref="B982:H982"/>
    <mergeCell ref="F1668:H1668"/>
    <mergeCell ref="B1874:H1874"/>
    <mergeCell ref="B2172:H2172"/>
    <mergeCell ref="F2273:H2273"/>
    <mergeCell ref="B2922:D2922"/>
    <mergeCell ref="B837:D837"/>
    <mergeCell ref="F486:H486"/>
    <mergeCell ref="F171:H171"/>
    <mergeCell ref="B990:H990"/>
    <mergeCell ref="B380:D380"/>
    <mergeCell ref="B686:H686"/>
    <mergeCell ref="B2167:D2167"/>
    <mergeCell ref="B229:H229"/>
    <mergeCell ref="B1903:H1903"/>
    <mergeCell ref="B2623:D2623"/>
    <mergeCell ref="B2929:H2929"/>
    <mergeCell ref="B1142:H1142"/>
    <mergeCell ref="B2472:H2472"/>
    <mergeCell ref="B1440:H1440"/>
    <mergeCell ref="B1137:D1137"/>
    <mergeCell ref="B2467:D2467"/>
    <mergeCell ref="B1435:D1435"/>
    <mergeCell ref="B258:H258"/>
    <mergeCell ref="B1733:D1733"/>
    <mergeCell ref="B2923:D2923"/>
    <mergeCell ref="B1442:H1442"/>
    <mergeCell ref="B687:H687"/>
    <mergeCell ref="F959:H959"/>
    <mergeCell ref="B260:H260"/>
    <mergeCell ref="B2528:H2528"/>
    <mergeCell ref="B1138:D1138"/>
    <mergeCell ref="B2164:D2164"/>
    <mergeCell ref="F654:H654"/>
    <mergeCell ref="F1984:H1984"/>
    <mergeCell ref="B377:D377"/>
    <mergeCell ref="B2828:H2828"/>
    <mergeCell ref="B2559:H2559"/>
    <mergeCell ref="B2857:H2857"/>
    <mergeCell ref="B1458:H1458"/>
    <mergeCell ref="F2958:H2958"/>
    <mergeCell ref="F1383:H1383"/>
    <mergeCell ref="B1887:H1887"/>
    <mergeCell ref="B100:H100"/>
    <mergeCell ref="B1575:D1575"/>
    <mergeCell ref="B1153:H1153"/>
    <mergeCell ref="B2859:H2859"/>
    <mergeCell ref="B2249:D2249"/>
    <mergeCell ref="B2098:H2098"/>
    <mergeCell ref="B705:H705"/>
    <mergeCell ref="B850:D850"/>
    <mergeCell ref="B2396:H2396"/>
    <mergeCell ref="B311:H311"/>
    <mergeCell ref="B2218:H2218"/>
    <mergeCell ref="B2256:H2256"/>
    <mergeCell ref="B1279:D1279"/>
    <mergeCell ref="B2554:H2554"/>
    <mergeCell ref="B857:H857"/>
    <mergeCell ref="B1161:H1161"/>
    <mergeCell ref="B1677:H1677"/>
    <mergeCell ref="B1155:H1155"/>
    <mergeCell ref="B400:H400"/>
    <mergeCell ref="B698:H698"/>
    <mergeCell ref="B2549:D2549"/>
    <mergeCell ref="B974:D974"/>
    <mergeCell ref="B1794:D1794"/>
    <mergeCell ref="F672:H672"/>
    <mergeCell ref="B1372:H1372"/>
    <mergeCell ref="F2500:H2500"/>
    <mergeCell ref="B611:H611"/>
    <mergeCell ref="B1801:H1801"/>
    <mergeCell ref="B2854:H2854"/>
    <mergeCell ref="B2099:H2099"/>
    <mergeCell ref="B851:D851"/>
    <mergeCell ref="B1149:D1149"/>
    <mergeCell ref="B2849:D2849"/>
    <mergeCell ref="F2669:H2669"/>
    <mergeCell ref="F1610:H1610"/>
    <mergeCell ref="B1062:D1062"/>
    <mergeCell ref="B1672:H1672"/>
    <mergeCell ref="F1908:H1908"/>
    <mergeCell ref="F2800:H2800"/>
    <mergeCell ref="B2543:H2543"/>
    <mergeCell ref="B756:H756"/>
    <mergeCell ref="B2999:H2999"/>
    <mergeCell ref="F2068:H2068"/>
    <mergeCell ref="B1817:H1817"/>
    <mergeCell ref="B758:H758"/>
    <mergeCell ref="B878:D878"/>
    <mergeCell ref="B785:H785"/>
    <mergeCell ref="B1056:H1056"/>
    <mergeCell ref="B3001:H3001"/>
    <mergeCell ref="B1390:H1390"/>
    <mergeCell ref="B331:H331"/>
    <mergeCell ref="B453:H453"/>
    <mergeCell ref="B751:H751"/>
    <mergeCell ref="B2262:D2262"/>
    <mergeCell ref="B32:H32"/>
    <mergeCell ref="B1058:H1058"/>
    <mergeCell ref="B2560:D2560"/>
    <mergeCell ref="B26:H26"/>
    <mergeCell ref="B330:H330"/>
    <mergeCell ref="B324:H324"/>
    <mergeCell ref="B2269:H2269"/>
    <mergeCell ref="B2567:H2567"/>
    <mergeCell ref="B482:H482"/>
    <mergeCell ref="B753:H753"/>
    <mergeCell ref="B143:D143"/>
    <mergeCell ref="B1202:D1202"/>
    <mergeCell ref="B2562:D2562"/>
    <mergeCell ref="F568:H568"/>
    <mergeCell ref="B2105:D2105"/>
    <mergeCell ref="F2513:H2513"/>
    <mergeCell ref="B2569:H2569"/>
    <mergeCell ref="B1814:H1814"/>
    <mergeCell ref="B1204:D1204"/>
    <mergeCell ref="B2263:D2263"/>
    <mergeCell ref="B782:H782"/>
    <mergeCell ref="B27:H27"/>
    <mergeCell ref="F1331:H1331"/>
    <mergeCell ref="F2813:H2813"/>
    <mergeCell ref="B42:H42"/>
    <mergeCell ref="F1781:H1781"/>
    <mergeCell ref="F1026:H1026"/>
    <mergeCell ref="B2168:H2168"/>
    <mergeCell ref="F265:H265"/>
    <mergeCell ref="F2514:H2514"/>
    <mergeCell ref="F2296:H2296"/>
    <mergeCell ref="B44:H44"/>
    <mergeCell ref="B166:H166"/>
    <mergeCell ref="F2081:H2081"/>
    <mergeCell ref="B2170:H2170"/>
    <mergeCell ref="B3007:D3007"/>
    <mergeCell ref="B2468:H2468"/>
    <mergeCell ref="B1113:H1113"/>
    <mergeCell ref="B503:D503"/>
    <mergeCell ref="B1220:D1220"/>
    <mergeCell ref="B681:H681"/>
    <mergeCell ref="B352:H352"/>
    <mergeCell ref="B1988:H1988"/>
    <mergeCell ref="B37:H37"/>
    <mergeCell ref="B174:H174"/>
    <mergeCell ref="F2298:H2298"/>
    <mergeCell ref="B1227:H1227"/>
    <mergeCell ref="B168:H168"/>
    <mergeCell ref="B472:H472"/>
    <mergeCell ref="B1865:H1865"/>
    <mergeCell ref="B466:H466"/>
    <mergeCell ref="B2199:H2199"/>
    <mergeCell ref="B2470:H2470"/>
    <mergeCell ref="B1742:H1742"/>
    <mergeCell ref="B2768:H2768"/>
    <mergeCell ref="B461:D461"/>
    <mergeCell ref="B803:D803"/>
    <mergeCell ref="B2288:H2288"/>
    <mergeCell ref="B2804:H2804"/>
    <mergeCell ref="B2926:H2926"/>
    <mergeCell ref="B917:D917"/>
    <mergeCell ref="B497:H497"/>
    <mergeCell ref="B2921:D2921"/>
    <mergeCell ref="B2499:H2499"/>
    <mergeCell ref="B1738:H1738"/>
    <mergeCell ref="F1771:H1771"/>
    <mergeCell ref="B187:D187"/>
    <mergeCell ref="B485:D485"/>
    <mergeCell ref="B2189:D2189"/>
    <mergeCell ref="B2799:H2799"/>
    <mergeCell ref="F2140:H2140"/>
    <mergeCell ref="B96:H96"/>
    <mergeCell ref="B71:H71"/>
    <mergeCell ref="B216:D216"/>
    <mergeCell ref="B487:D487"/>
    <mergeCell ref="B2339:H2339"/>
    <mergeCell ref="B188:D188"/>
    <mergeCell ref="F2440:H2440"/>
    <mergeCell ref="B1614:H1614"/>
    <mergeCell ref="B2334:D2334"/>
    <mergeCell ref="B2309:D2309"/>
    <mergeCell ref="B853:H853"/>
    <mergeCell ref="B98:H98"/>
    <mergeCell ref="B1157:H1157"/>
    <mergeCell ref="B1548:D1548"/>
    <mergeCell ref="B396:H396"/>
    <mergeCell ref="B516:D516"/>
    <mergeCell ref="B1573:D1573"/>
    <mergeCell ref="B2183:H2183"/>
    <mergeCell ref="B2341:H2341"/>
    <mergeCell ref="B2639:H2639"/>
    <mergeCell ref="B1580:H1580"/>
    <mergeCell ref="B488:D488"/>
    <mergeCell ref="B1914:H1914"/>
    <mergeCell ref="F1097:H1097"/>
    <mergeCell ref="B1159:H1159"/>
    <mergeCell ref="B2634:D2634"/>
    <mergeCell ref="F1395:H1395"/>
    <mergeCell ref="F40:H40"/>
    <mergeCell ref="B398:H398"/>
    <mergeCell ref="B1451:H1451"/>
    <mergeCell ref="B1873:D1873"/>
    <mergeCell ref="F2585:H2585"/>
    <mergeCell ref="B2641:H2641"/>
    <mergeCell ref="F2166:H2166"/>
    <mergeCell ref="B2932:D2932"/>
    <mergeCell ref="B2939:H2939"/>
    <mergeCell ref="F1397:H1397"/>
    <mergeCell ref="B849:D849"/>
    <mergeCell ref="B2934:D2934"/>
    <mergeCell ref="F2885:H2885"/>
    <mergeCell ref="B1482:H1482"/>
    <mergeCell ref="B2941:H2941"/>
    <mergeCell ref="F2466:H2466"/>
    <mergeCell ref="B1154:H1154"/>
    <mergeCell ref="B1911:H1911"/>
    <mergeCell ref="B124:H124"/>
    <mergeCell ref="F671:H671"/>
    <mergeCell ref="B1484:H1484"/>
    <mergeCell ref="B1169:H1169"/>
    <mergeCell ref="F2153:H2153"/>
    <mergeCell ref="F2766:H2766"/>
    <mergeCell ref="B2997:H2997"/>
    <mergeCell ref="B1940:H1940"/>
    <mergeCell ref="B1185:H1185"/>
    <mergeCell ref="B126:H126"/>
    <mergeCell ref="B424:H424"/>
    <mergeCell ref="B109:H109"/>
    <mergeCell ref="B1477:H1477"/>
    <mergeCell ref="B1299:H1299"/>
    <mergeCell ref="B2057:D2057"/>
    <mergeCell ref="B2240:H2240"/>
    <mergeCell ref="F1423:H1423"/>
    <mergeCell ref="B1485:H1485"/>
    <mergeCell ref="B1586:D1586"/>
    <mergeCell ref="B724:H724"/>
    <mergeCell ref="F1721:H1721"/>
    <mergeCell ref="B409:H409"/>
    <mergeCell ref="B2357:D2357"/>
    <mergeCell ref="F241:H241"/>
    <mergeCell ref="B2571:H2571"/>
    <mergeCell ref="F1425:H1425"/>
    <mergeCell ref="B2565:H2565"/>
    <mergeCell ref="B2869:H2869"/>
    <mergeCell ref="B1473:D1473"/>
    <mergeCell ref="F1424:H1424"/>
    <mergeCell ref="F2477:H2477"/>
    <mergeCell ref="B1624:H1624"/>
    <mergeCell ref="B2502:D2502"/>
    <mergeCell ref="B2110:H2110"/>
    <mergeCell ref="F997:H997"/>
    <mergeCell ref="B130:D130"/>
    <mergeCell ref="B898:H898"/>
    <mergeCell ref="B137:H137"/>
    <mergeCell ref="B2802:D2802"/>
    <mergeCell ref="B132:D132"/>
    <mergeCell ref="B3010:H3010"/>
    <mergeCell ref="B925:H925"/>
    <mergeCell ref="B900:H900"/>
    <mergeCell ref="B1620:D1620"/>
    <mergeCell ref="B1223:H1223"/>
    <mergeCell ref="B1198:H1198"/>
    <mergeCell ref="B2591:H2591"/>
    <mergeCell ref="B3012:H3012"/>
    <mergeCell ref="F2537:H2537"/>
    <mergeCell ref="B2706:D2706"/>
    <mergeCell ref="B1225:H1225"/>
    <mergeCell ref="B590:D590"/>
    <mergeCell ref="B1523:H1523"/>
    <mergeCell ref="B2891:H2891"/>
    <mergeCell ref="B2713:H2713"/>
    <mergeCell ref="B3011:H3011"/>
    <mergeCell ref="F839:H839"/>
    <mergeCell ref="B1979:H1979"/>
    <mergeCell ref="F2837:H2837"/>
    <mergeCell ref="B1974:D1974"/>
    <mergeCell ref="F1050:H1050"/>
    <mergeCell ref="B793:H793"/>
    <mergeCell ref="F1139:H1139"/>
    <mergeCell ref="B951:H951"/>
    <mergeCell ref="F1437:H1437"/>
    <mergeCell ref="B1249:H1249"/>
    <mergeCell ref="B2274:D2274"/>
    <mergeCell ref="B524:H524"/>
    <mergeCell ref="B1244:D1244"/>
    <mergeCell ref="B1854:H1854"/>
    <mergeCell ref="B822:H822"/>
    <mergeCell ref="B67:H67"/>
    <mergeCell ref="F2561:H2561"/>
    <mergeCell ref="B2012:H2012"/>
    <mergeCell ref="B61:H61"/>
    <mergeCell ref="B953:H953"/>
    <mergeCell ref="F2838:H2838"/>
    <mergeCell ref="B613:H613"/>
    <mergeCell ref="B1251:H1251"/>
    <mergeCell ref="B911:H911"/>
    <mergeCell ref="B824:H824"/>
    <mergeCell ref="B69:H69"/>
    <mergeCell ref="B214:D214"/>
    <mergeCell ref="B946:H946"/>
    <mergeCell ref="B367:H367"/>
    <mergeCell ref="B2299:D2299"/>
    <mergeCell ref="B2312:H2312"/>
    <mergeCell ref="B2728:D2728"/>
    <mergeCell ref="B2268:H2268"/>
    <mergeCell ref="B941:D941"/>
    <mergeCell ref="B519:H519"/>
    <mergeCell ref="B2429:D2429"/>
    <mergeCell ref="F307:H307"/>
    <mergeCell ref="B57:D57"/>
    <mergeCell ref="F1524:H1524"/>
    <mergeCell ref="F2550:H2550"/>
    <mergeCell ref="B2612:H2612"/>
    <mergeCell ref="B2637:H2637"/>
    <mergeCell ref="F1061:H1061"/>
    <mergeCell ref="B64:H64"/>
    <mergeCell ref="F3006:H3006"/>
    <mergeCell ref="B2729:D2729"/>
    <mergeCell ref="F1368:H1368"/>
    <mergeCell ref="F336:H336"/>
    <mergeCell ref="B2937:H2937"/>
    <mergeCell ref="F1824:H1824"/>
    <mergeCell ref="F1063:H1063"/>
    <mergeCell ref="F308:H308"/>
    <mergeCell ref="B515:D515"/>
    <mergeCell ref="B237:H237"/>
    <mergeCell ref="F606:H606"/>
    <mergeCell ref="B1725:H1725"/>
    <mergeCell ref="B666:H666"/>
    <mergeCell ref="B964:H964"/>
    <mergeCell ref="B209:H209"/>
    <mergeCell ref="F39:H39"/>
    <mergeCell ref="F337:H337"/>
    <mergeCell ref="B122:H122"/>
    <mergeCell ref="B204:D204"/>
    <mergeCell ref="B959:D959"/>
    <mergeCell ref="B1257:D1257"/>
    <mergeCell ref="B2365:H2365"/>
    <mergeCell ref="B2025:H2025"/>
    <mergeCell ref="B966:H966"/>
    <mergeCell ref="B2441:D2441"/>
    <mergeCell ref="B2663:H2663"/>
    <mergeCell ref="B238:H238"/>
    <mergeCell ref="B509:H509"/>
    <mergeCell ref="B654:D654"/>
    <mergeCell ref="B1902:H1902"/>
    <mergeCell ref="B1984:D1984"/>
    <mergeCell ref="B2961:H2961"/>
    <mergeCell ref="B1183:H1183"/>
    <mergeCell ref="B2142:D2142"/>
    <mergeCell ref="B2658:D2658"/>
    <mergeCell ref="B1475:H1475"/>
    <mergeCell ref="B227:D227"/>
    <mergeCell ref="B1924:D1924"/>
    <mergeCell ref="B2027:H2027"/>
    <mergeCell ref="B2665:H2665"/>
    <mergeCell ref="B1595:H1595"/>
    <mergeCell ref="B240:H240"/>
    <mergeCell ref="B960:D960"/>
    <mergeCell ref="B2325:H2325"/>
    <mergeCell ref="B1176:H1176"/>
    <mergeCell ref="B2648:H2648"/>
    <mergeCell ref="B2963:H2963"/>
    <mergeCell ref="B532:H532"/>
    <mergeCell ref="B2442:D2442"/>
    <mergeCell ref="B2958:D2958"/>
    <mergeCell ref="B1926:D1926"/>
    <mergeCell ref="B655:D655"/>
    <mergeCell ref="F1537:H1537"/>
    <mergeCell ref="B228:D228"/>
    <mergeCell ref="B563:H563"/>
    <mergeCell ref="F695:H695"/>
    <mergeCell ref="B657:D657"/>
    <mergeCell ref="F1232:H1232"/>
    <mergeCell ref="B2742:D2742"/>
    <mergeCell ref="F2177:H2177"/>
    <mergeCell ref="B2071:D2071"/>
    <mergeCell ref="B894:H894"/>
    <mergeCell ref="B565:H565"/>
    <mergeCell ref="B672:D672"/>
    <mergeCell ref="B1920:H1920"/>
    <mergeCell ref="B133:H133"/>
    <mergeCell ref="B2376:H2376"/>
    <mergeCell ref="B1651:H1651"/>
    <mergeCell ref="B896:H896"/>
    <mergeCell ref="B1955:H1955"/>
    <mergeCell ref="B2371:D2371"/>
    <mergeCell ref="B1194:H1194"/>
    <mergeCell ref="B135:H135"/>
    <mergeCell ref="B2669:D2669"/>
    <mergeCell ref="B1188:H1188"/>
    <mergeCell ref="B433:H433"/>
    <mergeCell ref="B2384:H2384"/>
    <mergeCell ref="F2933:H2933"/>
    <mergeCell ref="B2676:H2676"/>
    <mergeCell ref="B1617:H1617"/>
    <mergeCell ref="B224:H224"/>
    <mergeCell ref="B1921:H1921"/>
    <mergeCell ref="B2073:H2073"/>
    <mergeCell ref="B1196:H1196"/>
    <mergeCell ref="B1318:H1318"/>
    <mergeCell ref="B1645:D1645"/>
    <mergeCell ref="B1494:H1494"/>
    <mergeCell ref="B2671:D2671"/>
    <mergeCell ref="B1792:H1792"/>
    <mergeCell ref="B1652:H1652"/>
    <mergeCell ref="B2068:D2068"/>
    <mergeCell ref="B1611:D1611"/>
    <mergeCell ref="B2379:H2379"/>
    <mergeCell ref="F706:H706"/>
    <mergeCell ref="B1939:D1939"/>
    <mergeCell ref="F1896:H1896"/>
    <mergeCell ref="F2188:H2188"/>
    <mergeCell ref="F103:H103"/>
    <mergeCell ref="F2346:H2346"/>
    <mergeCell ref="F2862:H2862"/>
    <mergeCell ref="B2069:D2069"/>
    <mergeCell ref="F708:H708"/>
    <mergeCell ref="B1036:H1036"/>
    <mergeCell ref="F2190:H2190"/>
    <mergeCell ref="F1435:H1435"/>
    <mergeCell ref="F403:H403"/>
    <mergeCell ref="F1733:H1733"/>
    <mergeCell ref="B1977:H1977"/>
    <mergeCell ref="B297:D297"/>
    <mergeCell ref="F2646:H2646"/>
    <mergeCell ref="B2097:H2097"/>
    <mergeCell ref="B146:H146"/>
    <mergeCell ref="B2852:H2852"/>
    <mergeCell ref="B2091:H2091"/>
    <mergeCell ref="B1336:H1336"/>
    <mergeCell ref="B2094:D2094"/>
    <mergeCell ref="B2389:H2389"/>
    <mergeCell ref="B602:H602"/>
    <mergeCell ref="F1166:H1166"/>
    <mergeCell ref="B2969:D2969"/>
    <mergeCell ref="B1331:D1331"/>
    <mergeCell ref="B909:H909"/>
    <mergeCell ref="B1031:H1031"/>
    <mergeCell ref="B1207:H1207"/>
    <mergeCell ref="B490:H490"/>
    <mergeCell ref="F861:H861"/>
    <mergeCell ref="B1338:H1338"/>
    <mergeCell ref="B1636:H1636"/>
    <mergeCell ref="B1026:D1026"/>
    <mergeCell ref="B1781:D1781"/>
    <mergeCell ref="B2394:D2394"/>
    <mergeCell ref="F129:H129"/>
    <mergeCell ref="B2753:D2753"/>
    <mergeCell ref="B1033:H1033"/>
    <mergeCell ref="F1191:H1191"/>
    <mergeCell ref="F1489:H1489"/>
    <mergeCell ref="B1028:D1028"/>
    <mergeCell ref="B1665:H1665"/>
    <mergeCell ref="B2303:H2303"/>
    <mergeCell ref="F131:H131"/>
    <mergeCell ref="B904:H904"/>
    <mergeCell ref="B635:H635"/>
    <mergeCell ref="B1782:D1782"/>
    <mergeCell ref="F1795:H1795"/>
    <mergeCell ref="B2298:D2298"/>
    <mergeCell ref="F3004:H3004"/>
    <mergeCell ref="F2249:H2249"/>
    <mergeCell ref="F850:H850"/>
    <mergeCell ref="B935:H935"/>
    <mergeCell ref="F1822:H1822"/>
    <mergeCell ref="B1052:D1052"/>
    <mergeCell ref="F2549:H2549"/>
    <mergeCell ref="B2749:H2749"/>
    <mergeCell ref="B962:H962"/>
    <mergeCell ref="B937:H937"/>
    <mergeCell ref="B1386:D1386"/>
    <mergeCell ref="B1260:H1260"/>
    <mergeCell ref="B1657:D1657"/>
    <mergeCell ref="B2748:H2748"/>
    <mergeCell ref="B1716:H1716"/>
    <mergeCell ref="B2107:D2107"/>
    <mergeCell ref="B22:D22"/>
    <mergeCell ref="B320:D320"/>
    <mergeCell ref="B1262:H1262"/>
    <mergeCell ref="B1711:D1711"/>
    <mergeCell ref="B2619:H2619"/>
    <mergeCell ref="B534:H534"/>
    <mergeCell ref="B2009:D2009"/>
    <mergeCell ref="B2140:D2140"/>
    <mergeCell ref="B1718:H1718"/>
    <mergeCell ref="B2016:H2016"/>
    <mergeCell ref="B1261:H1261"/>
    <mergeCell ref="F142:H142"/>
    <mergeCell ref="B2445:H2445"/>
    <mergeCell ref="B536:H536"/>
    <mergeCell ref="F449:H449"/>
    <mergeCell ref="B2011:D2011"/>
    <mergeCell ref="B834:H834"/>
    <mergeCell ref="F1962:H1962"/>
    <mergeCell ref="B2440:D2440"/>
    <mergeCell ref="B38:D38"/>
    <mergeCell ref="B2311:D2311"/>
    <mergeCell ref="B561:H561"/>
    <mergeCell ref="F2262:H2262"/>
    <mergeCell ref="F1230:H1230"/>
    <mergeCell ref="B2049:H2049"/>
    <mergeCell ref="F2560:H2560"/>
    <mergeCell ref="B40:D40"/>
    <mergeCell ref="F2596:H2596"/>
    <mergeCell ref="B338:D338"/>
    <mergeCell ref="F1835:H1835"/>
    <mergeCell ref="B2163:H2163"/>
    <mergeCell ref="B2166:D2166"/>
    <mergeCell ref="F2562:H2562"/>
    <mergeCell ref="B981:H981"/>
    <mergeCell ref="B264:H264"/>
    <mergeCell ref="B2349:H2349"/>
    <mergeCell ref="B1424:D1424"/>
    <mergeCell ref="B220:H220"/>
    <mergeCell ref="B562:H562"/>
    <mergeCell ref="B247:H247"/>
    <mergeCell ref="B518:H518"/>
    <mergeCell ref="B991:H991"/>
    <mergeCell ref="B2466:D2466"/>
    <mergeCell ref="B676:H676"/>
    <mergeCell ref="B1289:H1289"/>
    <mergeCell ref="B2761:H2761"/>
    <mergeCell ref="F73:H73"/>
    <mergeCell ref="B2800:D2800"/>
    <mergeCell ref="F1561:H1561"/>
    <mergeCell ref="F502:H502"/>
    <mergeCell ref="B671:D671"/>
    <mergeCell ref="B1724:D1724"/>
    <mergeCell ref="B547:H547"/>
    <mergeCell ref="F1098:H1098"/>
    <mergeCell ref="F958:H958"/>
    <mergeCell ref="B2766:D2766"/>
    <mergeCell ref="F1256:H1256"/>
    <mergeCell ref="F379:H379"/>
    <mergeCell ref="F501:H501"/>
    <mergeCell ref="F2622:H2622"/>
    <mergeCell ref="F74:H74"/>
    <mergeCell ref="F1562:H1562"/>
    <mergeCell ref="F503:H503"/>
    <mergeCell ref="B1762:H1762"/>
    <mergeCell ref="B703:H703"/>
    <mergeCell ref="F801:H801"/>
    <mergeCell ref="B1001:H1001"/>
    <mergeCell ref="B246:H246"/>
    <mergeCell ref="F2922:H2922"/>
    <mergeCell ref="B702:H702"/>
    <mergeCell ref="F803:H803"/>
    <mergeCell ref="B2062:H2062"/>
    <mergeCell ref="B697:D697"/>
    <mergeCell ref="B2179:D2179"/>
    <mergeCell ref="B1002:H1002"/>
    <mergeCell ref="B392:D392"/>
    <mergeCell ref="B2477:D2477"/>
    <mergeCell ref="B568:D568"/>
    <mergeCell ref="B2089:H2089"/>
    <mergeCell ref="B2513:D2513"/>
    <mergeCell ref="B2387:H2387"/>
    <mergeCell ref="B302:H302"/>
    <mergeCell ref="B997:D997"/>
    <mergeCell ref="B2685:H2685"/>
    <mergeCell ref="B575:H575"/>
    <mergeCell ref="B873:H873"/>
    <mergeCell ref="B2479:D2479"/>
    <mergeCell ref="B2515:D2515"/>
    <mergeCell ref="B1363:H1363"/>
    <mergeCell ref="B1976:H1976"/>
    <mergeCell ref="B2813:D2813"/>
    <mergeCell ref="B1661:H1661"/>
    <mergeCell ref="F1574:H1574"/>
    <mergeCell ref="F2212:H2212"/>
    <mergeCell ref="B2838:D2838"/>
    <mergeCell ref="B265:D265"/>
    <mergeCell ref="B2388:H2388"/>
    <mergeCell ref="B694:D694"/>
    <mergeCell ref="F514:H514"/>
    <mergeCell ref="B1663:H1663"/>
    <mergeCell ref="F2214:H2214"/>
    <mergeCell ref="F2512:H2512"/>
    <mergeCell ref="F427:H427"/>
    <mergeCell ref="F2670:H2670"/>
    <mergeCell ref="B2832:H2832"/>
    <mergeCell ref="B2413:H2413"/>
    <mergeCell ref="B328:H328"/>
    <mergeCell ref="F814:H814"/>
    <mergeCell ref="B1165:D1165"/>
    <mergeCell ref="B626:H626"/>
    <mergeCell ref="F1488:H1488"/>
    <mergeCell ref="B1688:H1688"/>
    <mergeCell ref="B933:H933"/>
    <mergeCell ref="B1992:H1992"/>
    <mergeCell ref="F2970:H2970"/>
    <mergeCell ref="B2421:H2421"/>
    <mergeCell ref="B1389:H1389"/>
    <mergeCell ref="B1167:D1167"/>
    <mergeCell ref="B2415:H2415"/>
    <mergeCell ref="B1687:H1687"/>
    <mergeCell ref="B2995:D2995"/>
    <mergeCell ref="B288:H288"/>
    <mergeCell ref="B926:H926"/>
    <mergeCell ref="B1384:D1384"/>
    <mergeCell ref="F1473:H1473"/>
    <mergeCell ref="B1894:D1894"/>
    <mergeCell ref="B1682:D1682"/>
    <mergeCell ref="B1689:H1689"/>
    <mergeCell ref="B928:H928"/>
    <mergeCell ref="B2561:D2561"/>
    <mergeCell ref="F567:H567"/>
    <mergeCell ref="F743:H743"/>
    <mergeCell ref="B1989:H1989"/>
    <mergeCell ref="B463:D463"/>
    <mergeCell ref="F1201:H1201"/>
    <mergeCell ref="B646:H646"/>
    <mergeCell ref="B768:H768"/>
    <mergeCell ref="B2889:H2889"/>
    <mergeCell ref="B1830:H1830"/>
    <mergeCell ref="B1524:D1524"/>
    <mergeCell ref="B2134:H2134"/>
    <mergeCell ref="B1102:H1102"/>
    <mergeCell ref="B43:H43"/>
    <mergeCell ref="B1373:H1373"/>
    <mergeCell ref="B2038:H2038"/>
    <mergeCell ref="B341:H341"/>
    <mergeCell ref="B1061:D1061"/>
    <mergeCell ref="B639:H639"/>
    <mergeCell ref="B1531:H1531"/>
    <mergeCell ref="B3006:D3006"/>
    <mergeCell ref="F1501:H1501"/>
    <mergeCell ref="B1097:D1097"/>
    <mergeCell ref="B1368:D1368"/>
    <mergeCell ref="B1829:H1829"/>
    <mergeCell ref="B1068:H1068"/>
    <mergeCell ref="B336:D336"/>
    <mergeCell ref="B1395:D1395"/>
    <mergeCell ref="B1104:H1104"/>
    <mergeCell ref="B1824:D1824"/>
    <mergeCell ref="B2434:H2434"/>
    <mergeCell ref="B1402:H1402"/>
    <mergeCell ref="B792:D792"/>
    <mergeCell ref="B1063:D1063"/>
    <mergeCell ref="B2040:H2040"/>
    <mergeCell ref="B641:H641"/>
    <mergeCell ref="B1221:D1221"/>
    <mergeCell ref="B1397:D1397"/>
    <mergeCell ref="B342:H342"/>
    <mergeCell ref="B1404:H1404"/>
    <mergeCell ref="B1287:H1287"/>
    <mergeCell ref="B39:D39"/>
    <mergeCell ref="F1646:H1646"/>
    <mergeCell ref="B1702:H1702"/>
    <mergeCell ref="F2284:H2284"/>
    <mergeCell ref="F1219:H1219"/>
    <mergeCell ref="F580:H580"/>
    <mergeCell ref="F1254:H1254"/>
    <mergeCell ref="F2584:H2584"/>
    <mergeCell ref="B2791:D2791"/>
    <mergeCell ref="F2104:H2104"/>
    <mergeCell ref="F153:H153"/>
    <mergeCell ref="F1343:H1343"/>
    <mergeCell ref="B2187:H2187"/>
    <mergeCell ref="B2485:H2485"/>
    <mergeCell ref="B788:H788"/>
    <mergeCell ref="B476:D476"/>
    <mergeCell ref="F2884:H2884"/>
    <mergeCell ref="B489:H489"/>
    <mergeCell ref="B1303:H1303"/>
    <mergeCell ref="B1423:D1423"/>
    <mergeCell ref="B271:H271"/>
    <mergeCell ref="B781:H781"/>
    <mergeCell ref="B2487:H2487"/>
    <mergeCell ref="B1455:H1455"/>
    <mergeCell ref="B62:H62"/>
    <mergeCell ref="B700:H700"/>
    <mergeCell ref="B1537:D1537"/>
    <mergeCell ref="B1753:H1753"/>
    <mergeCell ref="B2785:H2785"/>
    <mergeCell ref="B2060:H2060"/>
    <mergeCell ref="B1450:D1450"/>
    <mergeCell ref="B1425:D1425"/>
    <mergeCell ref="B2182:H2182"/>
    <mergeCell ref="B273:H273"/>
    <mergeCell ref="B1110:D1110"/>
    <mergeCell ref="B571:H571"/>
    <mergeCell ref="B2516:H2516"/>
    <mergeCell ref="F1699:H1699"/>
    <mergeCell ref="B1761:H1761"/>
    <mergeCell ref="B2177:D2177"/>
    <mergeCell ref="B2598:D2598"/>
    <mergeCell ref="B1837:D1837"/>
    <mergeCell ref="B2787:H2787"/>
    <mergeCell ref="B1298:H1298"/>
    <mergeCell ref="B2211:H2211"/>
    <mergeCell ref="B2482:H2482"/>
    <mergeCell ref="B1872:D1872"/>
    <mergeCell ref="B573:H573"/>
    <mergeCell ref="B871:H871"/>
    <mergeCell ref="B2816:H2816"/>
    <mergeCell ref="B1029:H1029"/>
    <mergeCell ref="F2297:H2297"/>
    <mergeCell ref="F187:H187"/>
    <mergeCell ref="F485:H485"/>
    <mergeCell ref="B2933:D2933"/>
    <mergeCell ref="F1572:H1572"/>
    <mergeCell ref="B1900:H1900"/>
    <mergeCell ref="B504:D504"/>
    <mergeCell ref="B802:D802"/>
    <mergeCell ref="F214:H214"/>
    <mergeCell ref="F1267:H1267"/>
    <mergeCell ref="B712:H712"/>
    <mergeCell ref="F2633:H2633"/>
    <mergeCell ref="F1723:H1723"/>
    <mergeCell ref="B1929:H1929"/>
    <mergeCell ref="B1773:H1773"/>
    <mergeCell ref="B1018:H1018"/>
    <mergeCell ref="B1316:H1316"/>
    <mergeCell ref="B1354:H1354"/>
    <mergeCell ref="B1461:D1461"/>
    <mergeCell ref="B284:H284"/>
    <mergeCell ref="B1896:D1896"/>
    <mergeCell ref="B2229:H2229"/>
    <mergeCell ref="B1468:H1468"/>
    <mergeCell ref="B713:H713"/>
    <mergeCell ref="B103:D103"/>
    <mergeCell ref="B1471:D1471"/>
    <mergeCell ref="B1766:H1766"/>
    <mergeCell ref="B2188:D2188"/>
    <mergeCell ref="B2410:H2410"/>
    <mergeCell ref="B2224:D2224"/>
    <mergeCell ref="B2346:D2346"/>
    <mergeCell ref="F985:H985"/>
    <mergeCell ref="B110:H110"/>
    <mergeCell ref="B1685:H1685"/>
    <mergeCell ref="B1983:H1983"/>
    <mergeCell ref="B286:H286"/>
    <mergeCell ref="B2195:H2195"/>
    <mergeCell ref="B2644:D2644"/>
    <mergeCell ref="B584:H584"/>
    <mergeCell ref="B2412:H2412"/>
    <mergeCell ref="B715:H715"/>
    <mergeCell ref="B2190:D2190"/>
    <mergeCell ref="B1013:H1013"/>
    <mergeCell ref="B403:D403"/>
    <mergeCell ref="B745:D745"/>
    <mergeCell ref="B1462:D1462"/>
    <mergeCell ref="B2524:D2524"/>
    <mergeCell ref="B2646:D2646"/>
    <mergeCell ref="F2056:H2056"/>
    <mergeCell ref="B1166:D1166"/>
    <mergeCell ref="F986:H986"/>
    <mergeCell ref="B2712:H2712"/>
    <mergeCell ref="F225:H225"/>
    <mergeCell ref="B1799:H1799"/>
    <mergeCell ref="B12:H12"/>
    <mergeCell ref="B441:H441"/>
    <mergeCell ref="B739:H739"/>
    <mergeCell ref="B7:D7"/>
    <mergeCell ref="B129:D129"/>
    <mergeCell ref="F2381:H2381"/>
    <mergeCell ref="F1924:H1924"/>
    <mergeCell ref="F227:H227"/>
    <mergeCell ref="F525:H525"/>
    <mergeCell ref="B14:H14"/>
    <mergeCell ref="B1489:D1489"/>
    <mergeCell ref="B312:H312"/>
    <mergeCell ref="B610:H610"/>
    <mergeCell ref="B741:H741"/>
    <mergeCell ref="B131:D131"/>
    <mergeCell ref="B1190:D1190"/>
    <mergeCell ref="B307:D307"/>
    <mergeCell ref="F1926:H1926"/>
    <mergeCell ref="B2550:D2550"/>
    <mergeCell ref="F556:H556"/>
    <mergeCell ref="B314:H314"/>
    <mergeCell ref="B1696:H1696"/>
    <mergeCell ref="B3004:D3004"/>
    <mergeCell ref="B1827:H1827"/>
    <mergeCell ref="B1192:D1192"/>
    <mergeCell ref="B2125:H2125"/>
    <mergeCell ref="B2880:H2880"/>
    <mergeCell ref="B1490:D1490"/>
    <mergeCell ref="B1400:H1400"/>
    <mergeCell ref="B2590:H2590"/>
    <mergeCell ref="F2826:H2826"/>
    <mergeCell ref="B2888:H2888"/>
    <mergeCell ref="B2127:H2127"/>
    <mergeCell ref="B2425:H2425"/>
    <mergeCell ref="F253:H253"/>
    <mergeCell ref="B1126:H1126"/>
    <mergeCell ref="B365:H365"/>
    <mergeCell ref="B1555:H1555"/>
    <mergeCell ref="B1853:H1853"/>
    <mergeCell ref="B142:D142"/>
    <mergeCell ref="B236:H236"/>
    <mergeCell ref="B58:H58"/>
    <mergeCell ref="B816:D816"/>
    <mergeCell ref="B449:D449"/>
    <mergeCell ref="B665:H665"/>
    <mergeCell ref="B1855:H1855"/>
    <mergeCell ref="B1540:H1540"/>
    <mergeCell ref="B1838:H1838"/>
    <mergeCell ref="B779:H779"/>
    <mergeCell ref="B1203:D1203"/>
    <mergeCell ref="B144:D144"/>
    <mergeCell ref="B2145:H2145"/>
    <mergeCell ref="B60:H60"/>
    <mergeCell ref="B358:H358"/>
    <mergeCell ref="B1726:H1726"/>
    <mergeCell ref="B1414:D1414"/>
    <mergeCell ref="B53:H53"/>
    <mergeCell ref="B810:H810"/>
    <mergeCell ref="B1079:H1079"/>
    <mergeCell ref="B1503:D1503"/>
    <mergeCell ref="F2128:H2128"/>
    <mergeCell ref="F1367:H1367"/>
    <mergeCell ref="F335:H335"/>
    <mergeCell ref="F1972:H1972"/>
    <mergeCell ref="F1062:H1062"/>
    <mergeCell ref="B1566:H1566"/>
    <mergeCell ref="F2428:H2428"/>
    <mergeCell ref="B73:D73"/>
    <mergeCell ref="F1396:H1396"/>
    <mergeCell ref="B841:H841"/>
    <mergeCell ref="B1561:D1561"/>
    <mergeCell ref="B2171:H2171"/>
    <mergeCell ref="B80:H80"/>
    <mergeCell ref="B384:H384"/>
    <mergeCell ref="B1098:D1098"/>
    <mergeCell ref="B1568:H1568"/>
    <mergeCell ref="B958:D958"/>
    <mergeCell ref="B1866:H1866"/>
    <mergeCell ref="B1256:D1256"/>
    <mergeCell ref="B379:D379"/>
    <mergeCell ref="F2753:H2753"/>
    <mergeCell ref="B79:H79"/>
    <mergeCell ref="B2540:H2540"/>
    <mergeCell ref="B1141:H1141"/>
    <mergeCell ref="B386:H386"/>
    <mergeCell ref="B1861:D1861"/>
    <mergeCell ref="B1439:H1439"/>
    <mergeCell ref="B74:D74"/>
    <mergeCell ref="B2952:H2952"/>
    <mergeCell ref="B1562:D1562"/>
    <mergeCell ref="B836:H836"/>
    <mergeCell ref="B81:H81"/>
    <mergeCell ref="B2823:H2823"/>
    <mergeCell ref="B381:H381"/>
    <mergeCell ref="B2743:D2743"/>
    <mergeCell ref="F2141:H2141"/>
    <mergeCell ref="F2464:H2464"/>
    <mergeCell ref="B1467:H1467"/>
    <mergeCell ref="F348:H348"/>
    <mergeCell ref="B215:D215"/>
    <mergeCell ref="B513:D513"/>
    <mergeCell ref="B1579:H1579"/>
    <mergeCell ref="B10:H10"/>
    <mergeCell ref="B520:H520"/>
    <mergeCell ref="B805:H805"/>
    <mergeCell ref="F1711:H1711"/>
    <mergeCell ref="F2441:H2441"/>
    <mergeCell ref="F2009:H2009"/>
    <mergeCell ref="F1292:H1292"/>
    <mergeCell ref="B2253:H2253"/>
    <mergeCell ref="F2764:H2764"/>
    <mergeCell ref="B854:H854"/>
    <mergeCell ref="B244:D244"/>
    <mergeCell ref="B737:H737"/>
    <mergeCell ref="B1492:H1492"/>
    <mergeCell ref="B397:H397"/>
    <mergeCell ref="B425:D425"/>
    <mergeCell ref="B1574:D1574"/>
    <mergeCell ref="B1790:H1790"/>
    <mergeCell ref="B673:D673"/>
    <mergeCell ref="B2212:D2212"/>
    <mergeCell ref="B2668:D2668"/>
    <mergeCell ref="B310:H310"/>
    <mergeCell ref="B514:D514"/>
    <mergeCell ref="B1269:D1269"/>
    <mergeCell ref="B92:H92"/>
    <mergeCell ref="B2553:H2553"/>
    <mergeCell ref="B1798:H1798"/>
    <mergeCell ref="B1483:H1483"/>
    <mergeCell ref="B766:H766"/>
    <mergeCell ref="F2034:H2034"/>
    <mergeCell ref="B427:D427"/>
    <mergeCell ref="B2096:H2096"/>
    <mergeCell ref="B1335:H1335"/>
    <mergeCell ref="B87:D87"/>
    <mergeCell ref="B2512:D2512"/>
    <mergeCell ref="B1195:H1195"/>
    <mergeCell ref="B2032:D2032"/>
    <mergeCell ref="F2368:H2368"/>
    <mergeCell ref="B1493:H1493"/>
    <mergeCell ref="F38:H38"/>
    <mergeCell ref="B761:D761"/>
    <mergeCell ref="B2552:H2552"/>
    <mergeCell ref="B94:H94"/>
    <mergeCell ref="B814:D814"/>
    <mergeCell ref="B2670:D2670"/>
    <mergeCell ref="B2853:H2853"/>
    <mergeCell ref="F1010:H1010"/>
    <mergeCell ref="B1488:D1488"/>
    <mergeCell ref="B1066:H1066"/>
    <mergeCell ref="B2970:D2970"/>
    <mergeCell ref="F2790:H2790"/>
    <mergeCell ref="B150:H150"/>
    <mergeCell ref="F278:H278"/>
    <mergeCell ref="F1608:H1608"/>
    <mergeCell ref="B1053:H1053"/>
    <mergeCell ref="B21:H21"/>
    <mergeCell ref="F707:H707"/>
    <mergeCell ref="B1966:H1966"/>
    <mergeCell ref="B1211:H1211"/>
    <mergeCell ref="B152:H152"/>
    <mergeCell ref="B2264:H2264"/>
    <mergeCell ref="F2189:H2189"/>
    <mergeCell ref="B748:H748"/>
    <mergeCell ref="F578:H578"/>
    <mergeCell ref="B145:H145"/>
    <mergeCell ref="B1968:H1968"/>
    <mergeCell ref="B1851:H1851"/>
    <mergeCell ref="B2266:H2266"/>
    <mergeCell ref="B181:H181"/>
    <mergeCell ref="B1511:H1511"/>
    <mergeCell ref="B1927:D1927"/>
    <mergeCell ref="B750:H750"/>
    <mergeCell ref="B1967:H1967"/>
    <mergeCell ref="B2261:D2261"/>
    <mergeCell ref="B2383:D2383"/>
    <mergeCell ref="B2483:H2483"/>
    <mergeCell ref="B1206:H1206"/>
    <mergeCell ref="B147:H147"/>
    <mergeCell ref="B2912:H2912"/>
    <mergeCell ref="F1793:H1793"/>
    <mergeCell ref="B1962:D1962"/>
    <mergeCell ref="B481:H481"/>
    <mergeCell ref="B1201:D1201"/>
    <mergeCell ref="B440:D440"/>
    <mergeCell ref="F1907:H1907"/>
    <mergeCell ref="B2783:H2783"/>
    <mergeCell ref="B1208:H1208"/>
    <mergeCell ref="B2683:D2683"/>
    <mergeCell ref="F2093:H2093"/>
    <mergeCell ref="B1501:D1501"/>
    <mergeCell ref="F2968:H2968"/>
    <mergeCell ref="F2213:H2213"/>
    <mergeCell ref="B1659:D1659"/>
    <mergeCell ref="F718:H718"/>
    <mergeCell ref="B163:H163"/>
    <mergeCell ref="F1025:H1025"/>
    <mergeCell ref="F2716:H2716"/>
    <mergeCell ref="F1961:H1961"/>
    <mergeCell ref="B2287:D2287"/>
    <mergeCell ref="F2836:H2836"/>
    <mergeCell ref="F720:H720"/>
    <mergeCell ref="B1564:H1564"/>
    <mergeCell ref="B929:D929"/>
    <mergeCell ref="B1224:H1224"/>
    <mergeCell ref="B165:H165"/>
    <mergeCell ref="B1646:D1646"/>
    <mergeCell ref="B1862:H1862"/>
    <mergeCell ref="B1653:H1653"/>
    <mergeCell ref="B1219:D1219"/>
    <mergeCell ref="B502:D502"/>
    <mergeCell ref="B2625:H2625"/>
    <mergeCell ref="B1226:H1226"/>
    <mergeCell ref="B1254:D1254"/>
    <mergeCell ref="B1864:H1864"/>
    <mergeCell ref="B832:H832"/>
    <mergeCell ref="B77:H77"/>
    <mergeCell ref="B2917:H2917"/>
    <mergeCell ref="B2104:D2104"/>
    <mergeCell ref="B153:D153"/>
    <mergeCell ref="B1953:H1953"/>
    <mergeCell ref="B1343:D1343"/>
    <mergeCell ref="B2925:H2925"/>
    <mergeCell ref="B1893:H1893"/>
    <mergeCell ref="B1975:D1975"/>
    <mergeCell ref="F1051:H1051"/>
    <mergeCell ref="B191:H191"/>
    <mergeCell ref="F319:H319"/>
    <mergeCell ref="B1277:H1277"/>
    <mergeCell ref="B642:D642"/>
    <mergeCell ref="B95:H95"/>
    <mergeCell ref="B1148:H1148"/>
    <mergeCell ref="F1834:H1834"/>
    <mergeCell ref="B2338:H2338"/>
    <mergeCell ref="B1583:H1583"/>
    <mergeCell ref="B2976:H2976"/>
    <mergeCell ref="B644:D644"/>
    <mergeCell ref="B1577:H1577"/>
    <mergeCell ref="B1919:H1919"/>
    <mergeCell ref="B942:D942"/>
    <mergeCell ref="B1875:H1875"/>
    <mergeCell ref="B2455:D2455"/>
    <mergeCell ref="B97:H97"/>
    <mergeCell ref="B395:H395"/>
    <mergeCell ref="B2340:H2340"/>
    <mergeCell ref="B2789:D2789"/>
    <mergeCell ref="B2638:H2638"/>
    <mergeCell ref="B553:H553"/>
    <mergeCell ref="B2936:H2936"/>
    <mergeCell ref="B2219:H2219"/>
    <mergeCell ref="B1267:D1267"/>
    <mergeCell ref="B1609:D1609"/>
    <mergeCell ref="B845:H845"/>
    <mergeCell ref="B90:H90"/>
    <mergeCell ref="B2633:D2633"/>
    <mergeCell ref="B2755:D2755"/>
    <mergeCell ref="B1578:H1578"/>
    <mergeCell ref="B1723:D1723"/>
    <mergeCell ref="A3:H3"/>
    <mergeCell ref="B2640:H2640"/>
    <mergeCell ref="F2165:H2165"/>
    <mergeCell ref="F2920:H2920"/>
    <mergeCell ref="F791:H791"/>
    <mergeCell ref="B548:H548"/>
    <mergeCell ref="F1099:H1099"/>
    <mergeCell ref="B2364:H2364"/>
    <mergeCell ref="B1603:H1603"/>
    <mergeCell ref="F2490:H2490"/>
    <mergeCell ref="F2465:H2465"/>
    <mergeCell ref="F2788:H2788"/>
    <mergeCell ref="B1182:H1182"/>
    <mergeCell ref="B1598:D1598"/>
    <mergeCell ref="B2815:D2815"/>
    <mergeCell ref="B2664:H2664"/>
    <mergeCell ref="B1605:H1605"/>
    <mergeCell ref="B1293:D1293"/>
    <mergeCell ref="B116:H116"/>
    <mergeCell ref="B1964:H1964"/>
    <mergeCell ref="B869:H869"/>
    <mergeCell ref="B108:H108"/>
    <mergeCell ref="B230:H230"/>
    <mergeCell ref="B2691:H2691"/>
    <mergeCell ref="B2056:D2056"/>
    <mergeCell ref="B2989:H2989"/>
    <mergeCell ref="B986:D986"/>
    <mergeCell ref="B2228:H2228"/>
    <mergeCell ref="B225:D225"/>
    <mergeCell ref="B567:D567"/>
    <mergeCell ref="F390:H390"/>
    <mergeCell ref="B2991:H2991"/>
    <mergeCell ref="B2381:D2381"/>
    <mergeCell ref="F1123:H1123"/>
    <mergeCell ref="B2356:D2356"/>
    <mergeCell ref="F2176:H2176"/>
    <mergeCell ref="B569:D569"/>
    <mergeCell ref="F389:H389"/>
    <mergeCell ref="B525:D525"/>
    <mergeCell ref="B2265:H2265"/>
    <mergeCell ref="F2178:H2178"/>
    <mergeCell ref="F2501:H2501"/>
    <mergeCell ref="F391:H391"/>
    <mergeCell ref="B556:D556"/>
    <mergeCell ref="B134:H134"/>
    <mergeCell ref="F2957:H2957"/>
    <mergeCell ref="F2801:H2801"/>
    <mergeCell ref="B2290:H2290"/>
    <mergeCell ref="B2588:H2588"/>
    <mergeCell ref="B1769:D1769"/>
    <mergeCell ref="B617:H617"/>
    <mergeCell ref="B280:D280"/>
    <mergeCell ref="B2710:H2710"/>
    <mergeCell ref="B1993:H1993"/>
    <mergeCell ref="B2291:H2291"/>
    <mergeCell ref="B2707:D2707"/>
    <mergeCell ref="B2247:H2247"/>
    <mergeCell ref="B162:H162"/>
    <mergeCell ref="B920:D920"/>
    <mergeCell ref="B1530:H1530"/>
    <mergeCell ref="B2392:D2392"/>
    <mergeCell ref="B580:D580"/>
    <mergeCell ref="B2616:H2616"/>
    <mergeCell ref="B2276:H2276"/>
    <mergeCell ref="B1217:H1217"/>
    <mergeCell ref="F742:H742"/>
    <mergeCell ref="B2095:D2095"/>
    <mergeCell ref="F1049:H1049"/>
    <mergeCell ref="F2260:H2260"/>
    <mergeCell ref="F1461:H1461"/>
    <mergeCell ref="F744:H744"/>
    <mergeCell ref="B1248:H1248"/>
    <mergeCell ref="B189:H189"/>
    <mergeCell ref="B493:H493"/>
    <mergeCell ref="B2432:H2432"/>
    <mergeCell ref="B1704:H1704"/>
    <mergeCell ref="B821:H821"/>
    <mergeCell ref="B1250:H1250"/>
    <mergeCell ref="B1699:D1699"/>
    <mergeCell ref="B218:H218"/>
    <mergeCell ref="B522:H522"/>
    <mergeCell ref="B2128:D2128"/>
    <mergeCell ref="B1706:H1706"/>
    <mergeCell ref="B59:H59"/>
    <mergeCell ref="B2004:H2004"/>
    <mergeCell ref="B945:H945"/>
    <mergeCell ref="B1027:D1027"/>
    <mergeCell ref="B190:H190"/>
    <mergeCell ref="B335:D335"/>
    <mergeCell ref="B633:D633"/>
    <mergeCell ref="B1963:D1963"/>
    <mergeCell ref="B1999:D1999"/>
    <mergeCell ref="F760:H760"/>
    <mergeCell ref="B2297:D2297"/>
    <mergeCell ref="B2428:D2428"/>
    <mergeCell ref="B2031:H2031"/>
    <mergeCell ref="B1396:D1396"/>
    <mergeCell ref="B2329:H2329"/>
    <mergeCell ref="B2304:H2304"/>
    <mergeCell ref="B219:H219"/>
    <mergeCell ref="B517:H517"/>
    <mergeCell ref="F3005:H3005"/>
    <mergeCell ref="F2250:H2250"/>
    <mergeCell ref="B2331:H2331"/>
    <mergeCell ref="F1218:H1218"/>
    <mergeCell ref="F463:H463"/>
    <mergeCell ref="F2548:H2548"/>
    <mergeCell ref="B2360:H2360"/>
    <mergeCell ref="B961:H961"/>
    <mergeCell ref="B2362:H2362"/>
    <mergeCell ref="B2660:H2660"/>
    <mergeCell ref="B1412:D1412"/>
    <mergeCell ref="B1601:H1601"/>
    <mergeCell ref="B1683:D1683"/>
    <mergeCell ref="B1899:H1899"/>
    <mergeCell ref="B2596:D2596"/>
    <mergeCell ref="B664:H664"/>
    <mergeCell ref="B2777:D2777"/>
    <mergeCell ref="B1717:H1717"/>
    <mergeCell ref="B658:H658"/>
    <mergeCell ref="B2355:H2355"/>
    <mergeCell ref="B956:H956"/>
    <mergeCell ref="B2662:H2662"/>
    <mergeCell ref="B2960:H2960"/>
    <mergeCell ref="B1712:D1712"/>
    <mergeCell ref="B1901:H1901"/>
    <mergeCell ref="B1173:H1173"/>
    <mergeCell ref="B114:H114"/>
    <mergeCell ref="B2896:D2896"/>
    <mergeCell ref="B2141:D2141"/>
    <mergeCell ref="F631:H631"/>
    <mergeCell ref="B1109:D1109"/>
    <mergeCell ref="B1602:H1602"/>
    <mergeCell ref="B2235:H2235"/>
    <mergeCell ref="B348:D348"/>
    <mergeCell ref="B2962:H2962"/>
    <mergeCell ref="F815:H815"/>
    <mergeCell ref="B1930:H1930"/>
    <mergeCell ref="F475:H475"/>
    <mergeCell ref="F1411:H1411"/>
    <mergeCell ref="F56:H56"/>
    <mergeCell ref="B2143:D2143"/>
    <mergeCell ref="B2764:D2764"/>
    <mergeCell ref="B2047:D2047"/>
    <mergeCell ref="B1292:D1292"/>
    <mergeCell ref="F170:H170"/>
    <mergeCell ref="B232:H232"/>
    <mergeCell ref="B1103:H1103"/>
    <mergeCell ref="F1413:H1413"/>
    <mergeCell ref="B2075:H2075"/>
    <mergeCell ref="B1709:D1709"/>
    <mergeCell ref="B1314:H1314"/>
    <mergeCell ref="F1150:H1150"/>
    <mergeCell ref="B1612:H1612"/>
    <mergeCell ref="F1448:H1448"/>
    <mergeCell ref="B1015:H1015"/>
    <mergeCell ref="F2632:H2632"/>
    <mergeCell ref="B1045:H1045"/>
    <mergeCell ref="B290:H290"/>
    <mergeCell ref="B1010:D1010"/>
    <mergeCell ref="B2375:H2375"/>
    <mergeCell ref="B2497:H2497"/>
    <mergeCell ref="B2673:H2673"/>
    <mergeCell ref="B2533:H2533"/>
    <mergeCell ref="B2831:H2831"/>
    <mergeCell ref="B2076:H2076"/>
    <mergeCell ref="B1017:H1017"/>
    <mergeCell ref="B1315:H1315"/>
    <mergeCell ref="B2790:D2790"/>
    <mergeCell ref="B283:H283"/>
    <mergeCell ref="B2377:H2377"/>
    <mergeCell ref="B2826:D2826"/>
    <mergeCell ref="B1012:D1012"/>
    <mergeCell ref="B1649:H1649"/>
    <mergeCell ref="B2797:H2797"/>
    <mergeCell ref="B1310:D1310"/>
    <mergeCell ref="B888:H888"/>
    <mergeCell ref="B278:D278"/>
    <mergeCell ref="B253:D253"/>
    <mergeCell ref="B1186:H1186"/>
    <mergeCell ref="B1608:D1608"/>
    <mergeCell ref="B2833:H2833"/>
    <mergeCell ref="B2072:H2072"/>
    <mergeCell ref="B707:D707"/>
    <mergeCell ref="B285:H285"/>
    <mergeCell ref="B1615:H1615"/>
    <mergeCell ref="B1760:D1760"/>
    <mergeCell ref="B578:D578"/>
    <mergeCell ref="F2045:H2045"/>
    <mergeCell ref="B2701:H2701"/>
    <mergeCell ref="F827:H827"/>
    <mergeCell ref="F863:H863"/>
    <mergeCell ref="F102:H102"/>
    <mergeCell ref="F2345:H2345"/>
    <mergeCell ref="F1584:H1584"/>
    <mergeCell ref="F2526:H2526"/>
    <mergeCell ref="B1793:D1793"/>
    <mergeCell ref="F1882:H1882"/>
    <mergeCell ref="B1371:H1371"/>
    <mergeCell ref="B2088:H2088"/>
    <mergeCell ref="B6:D6"/>
    <mergeCell ref="B301:H301"/>
    <mergeCell ref="F2860:H2860"/>
    <mergeCell ref="B2517:H2517"/>
    <mergeCell ref="B432:H432"/>
    <mergeCell ref="B1907:D1907"/>
    <mergeCell ref="F402:H402"/>
    <mergeCell ref="F2645:H2645"/>
    <mergeCell ref="B2734:H2734"/>
    <mergeCell ref="B2539:D2539"/>
    <mergeCell ref="B2093:D2093"/>
    <mergeCell ref="B2000:H2000"/>
    <mergeCell ref="B303:H303"/>
    <mergeCell ref="B719:D719"/>
    <mergeCell ref="B306:D306"/>
    <mergeCell ref="B601:H601"/>
    <mergeCell ref="B484:H484"/>
    <mergeCell ref="B916:H916"/>
    <mergeCell ref="B1239:H1239"/>
    <mergeCell ref="B2727:H2727"/>
    <mergeCell ref="B1030:H1030"/>
    <mergeCell ref="F555:H555"/>
    <mergeCell ref="B1328:H1328"/>
    <mergeCell ref="B718:D718"/>
    <mergeCell ref="B2757:H2757"/>
    <mergeCell ref="B2002:H2002"/>
    <mergeCell ref="F889:H889"/>
    <mergeCell ref="B1025:D1025"/>
    <mergeCell ref="B1367:D1367"/>
    <mergeCell ref="B603:H603"/>
    <mergeCell ref="B1241:H1241"/>
    <mergeCell ref="B2300:H2300"/>
    <mergeCell ref="B2716:D2716"/>
    <mergeCell ref="F426:H426"/>
    <mergeCell ref="B2839:D2839"/>
    <mergeCell ref="B2874:D2874"/>
    <mergeCell ref="B720:D720"/>
    <mergeCell ref="B29:H29"/>
    <mergeCell ref="B2302:H2302"/>
    <mergeCell ref="F1189:H1189"/>
    <mergeCell ref="F1512:H1512"/>
    <mergeCell ref="F2538:H2538"/>
    <mergeCell ref="B2600:H2600"/>
    <mergeCell ref="B2758:H2758"/>
    <mergeCell ref="B2419:D2419"/>
    <mergeCell ref="B329:H329"/>
    <mergeCell ref="B627:H627"/>
    <mergeCell ref="F1514:H1514"/>
    <mergeCell ref="F1812:H1812"/>
    <mergeCell ref="B1415:H1415"/>
    <mergeCell ref="B356:H356"/>
    <mergeCell ref="B1051:D1051"/>
    <mergeCell ref="B629:H629"/>
    <mergeCell ref="B952:H952"/>
    <mergeCell ref="B233:H233"/>
    <mergeCell ref="B531:H531"/>
    <mergeCell ref="B1417:H1417"/>
    <mergeCell ref="B662:H662"/>
    <mergeCell ref="B2747:H2747"/>
    <mergeCell ref="B1715:H1715"/>
    <mergeCell ref="B2353:H2353"/>
    <mergeCell ref="B2013:H2013"/>
    <mergeCell ref="B954:H954"/>
    <mergeCell ref="B2905:H2905"/>
    <mergeCell ref="B319:D319"/>
    <mergeCell ref="B2144:H2144"/>
    <mergeCell ref="B1410:H1410"/>
    <mergeCell ref="B1839:H1839"/>
    <mergeCell ref="F1242:H1242"/>
    <mergeCell ref="B2015:H2015"/>
    <mergeCell ref="B2653:H2653"/>
    <mergeCell ref="B2313:H2313"/>
    <mergeCell ref="F1356:H1356"/>
    <mergeCell ref="B1834:D1834"/>
    <mergeCell ref="B2444:H2444"/>
    <mergeCell ref="B2887:D2887"/>
    <mergeCell ref="B1441:H1441"/>
    <mergeCell ref="F929:H929"/>
    <mergeCell ref="F2417:H2417"/>
    <mergeCell ref="F1656:H1656"/>
    <mergeCell ref="B1443:H1443"/>
    <mergeCell ref="B688:H688"/>
    <mergeCell ref="B1399:H1399"/>
    <mergeCell ref="B789:D789"/>
    <mergeCell ref="B1741:H1741"/>
    <mergeCell ref="B980:H980"/>
    <mergeCell ref="F55:H55"/>
    <mergeCell ref="B1736:D1736"/>
    <mergeCell ref="B1858:D1858"/>
    <mergeCell ref="F2717:H2717"/>
    <mergeCell ref="B975:D975"/>
    <mergeCell ref="B2920:D2920"/>
    <mergeCell ref="B2165:D2165"/>
    <mergeCell ref="B2460:H2460"/>
    <mergeCell ref="F169:H169"/>
    <mergeCell ref="B2041:H2041"/>
    <mergeCell ref="B670:D670"/>
    <mergeCell ref="B1860:D1860"/>
    <mergeCell ref="B2829:H2829"/>
    <mergeCell ref="B243:D243"/>
    <mergeCell ref="B2372:H2372"/>
    <mergeCell ref="B1313:H1313"/>
    <mergeCell ref="B2043:H2043"/>
    <mergeCell ref="B2465:D2465"/>
    <mergeCell ref="F1384:H1384"/>
    <mergeCell ref="F1682:H1682"/>
    <mergeCell ref="F957:H957"/>
    <mergeCell ref="F1255:H1255"/>
    <mergeCell ref="B1613:H1613"/>
    <mergeCell ref="B1156:H1156"/>
    <mergeCell ref="F1884:H1884"/>
    <mergeCell ref="B1449:D1449"/>
    <mergeCell ref="B390:D390"/>
    <mergeCell ref="B272:H272"/>
    <mergeCell ref="B2855:H2855"/>
    <mergeCell ref="B2811:H2811"/>
    <mergeCell ref="B726:H726"/>
    <mergeCell ref="B701:H701"/>
    <mergeCell ref="B1456:H1456"/>
    <mergeCell ref="B1754:H1754"/>
    <mergeCell ref="B2176:D2176"/>
    <mergeCell ref="B389:D389"/>
    <mergeCell ref="B1060:H1060"/>
    <mergeCell ref="B1667:H1667"/>
    <mergeCell ref="B274:H274"/>
    <mergeCell ref="B1871:D1871"/>
    <mergeCell ref="B1965:H1965"/>
    <mergeCell ref="B1787:H1787"/>
    <mergeCell ref="B1152:D1152"/>
    <mergeCell ref="B2178:D2178"/>
    <mergeCell ref="B2840:H2840"/>
    <mergeCell ref="B391:D391"/>
    <mergeCell ref="B1324:H1324"/>
    <mergeCell ref="B2079:H2079"/>
    <mergeCell ref="B1360:H1360"/>
    <mergeCell ref="B2957:D2957"/>
    <mergeCell ref="B86:D86"/>
    <mergeCell ref="B1789:H1789"/>
    <mergeCell ref="F2069:H2069"/>
    <mergeCell ref="B2087:H2087"/>
    <mergeCell ref="F670:H670"/>
    <mergeCell ref="B1055:H1055"/>
    <mergeCell ref="B1326:H1326"/>
    <mergeCell ref="F213:H213"/>
    <mergeCell ref="B269:H269"/>
    <mergeCell ref="F1179:H1179"/>
    <mergeCell ref="B752:H752"/>
    <mergeCell ref="F2369:H2369"/>
    <mergeCell ref="F215:H215"/>
    <mergeCell ref="F1906:H1906"/>
    <mergeCell ref="F513:H513"/>
    <mergeCell ref="B2112:H2112"/>
    <mergeCell ref="B325:H325"/>
    <mergeCell ref="B2568:H2568"/>
    <mergeCell ref="B754:H754"/>
    <mergeCell ref="B2861:D2861"/>
    <mergeCell ref="B327:H327"/>
    <mergeCell ref="B625:H625"/>
    <mergeCell ref="F2668:H2668"/>
    <mergeCell ref="B923:H923"/>
    <mergeCell ref="F1609:H1609"/>
    <mergeCell ref="B1815:H1815"/>
    <mergeCell ref="B1809:H1809"/>
    <mergeCell ref="B1054:H1054"/>
    <mergeCell ref="B2113:H2113"/>
    <mergeCell ref="B1081:H1081"/>
    <mergeCell ref="B1352:H1352"/>
    <mergeCell ref="B742:D742"/>
    <mergeCell ref="B104:D104"/>
    <mergeCell ref="B2827:D2827"/>
    <mergeCell ref="B2868:H2868"/>
    <mergeCell ref="B2863:D2863"/>
    <mergeCell ref="B1049:D1049"/>
    <mergeCell ref="B1686:H1686"/>
    <mergeCell ref="B749:H749"/>
    <mergeCell ref="B1076:D1076"/>
    <mergeCell ref="B2406:D2406"/>
    <mergeCell ref="B2115:H2115"/>
    <mergeCell ref="B2260:D2260"/>
    <mergeCell ref="F266:H266"/>
    <mergeCell ref="B744:D744"/>
    <mergeCell ref="B771:D771"/>
    <mergeCell ref="B404:D404"/>
    <mergeCell ref="F2082:H2082"/>
    <mergeCell ref="B1408:H1408"/>
    <mergeCell ref="F2380:H2380"/>
    <mergeCell ref="F566:H566"/>
    <mergeCell ref="B467:H467"/>
    <mergeCell ref="B2469:H2469"/>
    <mergeCell ref="F2382:H2382"/>
    <mergeCell ref="F1925:H1925"/>
    <mergeCell ref="B1737:H1737"/>
    <mergeCell ref="B760:D760"/>
    <mergeCell ref="B2283:H2283"/>
    <mergeCell ref="B1528:H1528"/>
    <mergeCell ref="B469:H469"/>
    <mergeCell ref="B2581:H2581"/>
    <mergeCell ref="B496:H496"/>
    <mergeCell ref="B767:H767"/>
    <mergeCell ref="B1065:H1065"/>
    <mergeCell ref="B33:H33"/>
    <mergeCell ref="B1739:H1739"/>
    <mergeCell ref="B164:H164"/>
    <mergeCell ref="B762:D762"/>
    <mergeCell ref="B2037:H2037"/>
    <mergeCell ref="B340:H340"/>
    <mergeCell ref="B978:H978"/>
    <mergeCell ref="B3005:D3005"/>
    <mergeCell ref="B2583:H2583"/>
    <mergeCell ref="B498:H498"/>
    <mergeCell ref="B1218:D1218"/>
    <mergeCell ref="B1828:H1828"/>
    <mergeCell ref="B796:H796"/>
    <mergeCell ref="B186:D186"/>
    <mergeCell ref="B1434:H1434"/>
    <mergeCell ref="B1973:D1973"/>
    <mergeCell ref="B35:H35"/>
    <mergeCell ref="B2151:H2151"/>
    <mergeCell ref="B2154:D2154"/>
    <mergeCell ref="B2548:D2548"/>
    <mergeCell ref="B2039:H2039"/>
    <mergeCell ref="B791:D791"/>
    <mergeCell ref="B2488:D2488"/>
    <mergeCell ref="B2337:H2337"/>
    <mergeCell ref="B252:H252"/>
    <mergeCell ref="B2495:H2495"/>
    <mergeCell ref="B2273:D2273"/>
    <mergeCell ref="B2451:H2451"/>
    <mergeCell ref="B366:H366"/>
    <mergeCell ref="F279:H279"/>
    <mergeCell ref="B486:D486"/>
    <mergeCell ref="B979:H979"/>
    <mergeCell ref="B1096:H1096"/>
    <mergeCell ref="B66:H66"/>
    <mergeCell ref="B2924:H2924"/>
    <mergeCell ref="B2490:D2490"/>
    <mergeCell ref="B2788:D2788"/>
    <mergeCell ref="F1549:H1549"/>
    <mergeCell ref="B180:H180"/>
    <mergeCell ref="F1680:H1680"/>
    <mergeCell ref="B2795:H2795"/>
    <mergeCell ref="B1581:H1581"/>
    <mergeCell ref="B54:D54"/>
    <mergeCell ref="B1879:H1879"/>
    <mergeCell ref="B185:D185"/>
    <mergeCell ref="B480:H480"/>
    <mergeCell ref="F2741:H2741"/>
    <mergeCell ref="B2484:H2484"/>
    <mergeCell ref="B1452:H1452"/>
    <mergeCell ref="B475:D475"/>
    <mergeCell ref="B1750:H1750"/>
    <mergeCell ref="B691:H691"/>
    <mergeCell ref="B56:D56"/>
    <mergeCell ref="F527:H527"/>
    <mergeCell ref="B234:H234"/>
    <mergeCell ref="B989:H989"/>
    <mergeCell ref="B1881:H1881"/>
    <mergeCell ref="B2940:H2940"/>
    <mergeCell ref="F7:H7"/>
    <mergeCell ref="B1454:H1454"/>
    <mergeCell ref="B699:H699"/>
    <mergeCell ref="B1576:H1576"/>
    <mergeCell ref="B1752:H1752"/>
    <mergeCell ref="B1295:H1295"/>
    <mergeCell ref="B685:D685"/>
    <mergeCell ref="B1910:H1910"/>
    <mergeCell ref="B2181:H2181"/>
    <mergeCell ref="B2208:H2208"/>
    <mergeCell ref="B1453:H1453"/>
    <mergeCell ref="B394:H394"/>
    <mergeCell ref="B1876:H1876"/>
    <mergeCell ref="F1996:H1996"/>
    <mergeCell ref="B2180:H2180"/>
    <mergeCell ref="B2203:D2203"/>
    <mergeCell ref="B171:D171"/>
    <mergeCell ref="B2632:D2632"/>
    <mergeCell ref="B2508:H2508"/>
    <mergeCell ref="B2503:D2503"/>
    <mergeCell ref="F2454:H2454"/>
    <mergeCell ref="F2752:H2752"/>
    <mergeCell ref="B1480:H1480"/>
    <mergeCell ref="B1587:D1587"/>
    <mergeCell ref="F2754:H2754"/>
    <mergeCell ref="B105:H105"/>
    <mergeCell ref="F1722:H1722"/>
    <mergeCell ref="B2566:H2566"/>
    <mergeCell ref="B2864:H2864"/>
    <mergeCell ref="B2109:H2109"/>
    <mergeCell ref="B412:H412"/>
    <mergeCell ref="B710:H710"/>
    <mergeCell ref="B75:D75"/>
    <mergeCell ref="B2045:D2045"/>
    <mergeCell ref="B2655:H2655"/>
    <mergeCell ref="B2953:H2953"/>
    <mergeCell ref="B868:H868"/>
    <mergeCell ref="B107:H107"/>
    <mergeCell ref="B1160:H1160"/>
    <mergeCell ref="B405:H405"/>
    <mergeCell ref="F2022:H2022"/>
    <mergeCell ref="B2111:H2111"/>
    <mergeCell ref="B863:D863"/>
    <mergeCell ref="B2866:H2866"/>
    <mergeCell ref="B2409:H2409"/>
    <mergeCell ref="B102:D102"/>
    <mergeCell ref="B1377:H1377"/>
    <mergeCell ref="F1290:H1290"/>
    <mergeCell ref="B2403:H2403"/>
    <mergeCell ref="B2955:H2955"/>
    <mergeCell ref="B2345:D2345"/>
    <mergeCell ref="B2983:D2983"/>
    <mergeCell ref="B1806:H1806"/>
    <mergeCell ref="B1584:D1584"/>
    <mergeCell ref="B1466:H1466"/>
    <mergeCell ref="B407:H407"/>
    <mergeCell ref="B1882:D1882"/>
    <mergeCell ref="B2860:D2860"/>
    <mergeCell ref="B1379:H1379"/>
    <mergeCell ref="B402:D402"/>
    <mergeCell ref="B2867:H2867"/>
    <mergeCell ref="F1412:H1412"/>
    <mergeCell ref="B9:H9"/>
    <mergeCell ref="F987:H987"/>
    <mergeCell ref="B1193:H1193"/>
    <mergeCell ref="F1291:H1291"/>
    <mergeCell ref="B1585:D1585"/>
    <mergeCell ref="F591:H591"/>
    <mergeCell ref="B1644:D1644"/>
    <mergeCell ref="B763:H763"/>
    <mergeCell ref="B738:H738"/>
    <mergeCell ref="B2708:H2708"/>
    <mergeCell ref="B426:D426"/>
    <mergeCell ref="B4:H4"/>
    <mergeCell ref="F891:H891"/>
    <mergeCell ref="B1610:D1610"/>
    <mergeCell ref="B1908:D1908"/>
    <mergeCell ref="B2579:H2579"/>
    <mergeCell ref="B1189:D1189"/>
    <mergeCell ref="B1818:H1818"/>
    <mergeCell ref="B2122:H2122"/>
    <mergeCell ref="B2877:H2877"/>
    <mergeCell ref="B428:D428"/>
    <mergeCell ref="B31:H31"/>
    <mergeCell ref="B1090:H1090"/>
    <mergeCell ref="B1361:H1361"/>
    <mergeCell ref="B3008:H3008"/>
    <mergeCell ref="B1519:H1519"/>
    <mergeCell ref="B2994:D2994"/>
    <mergeCell ref="B840:D840"/>
    <mergeCell ref="B2703:H2703"/>
    <mergeCell ref="B1826:H1826"/>
    <mergeCell ref="B2275:D2275"/>
    <mergeCell ref="B2124:H2124"/>
    <mergeCell ref="B1514:D1514"/>
    <mergeCell ref="B2573:D2573"/>
    <mergeCell ref="B1092:H1092"/>
    <mergeCell ref="B2422:H2422"/>
    <mergeCell ref="B2580:H2580"/>
    <mergeCell ref="B1521:H1521"/>
    <mergeCell ref="B1819:H1819"/>
    <mergeCell ref="B3009:H3009"/>
    <mergeCell ref="F1038:H1038"/>
    <mergeCell ref="F6:H6"/>
    <mergeCell ref="F619:H619"/>
    <mergeCell ref="B1392:H1392"/>
    <mergeCell ref="B178:H178"/>
    <mergeCell ref="B818:H818"/>
    <mergeCell ref="F306:H306"/>
    <mergeCell ref="B1247:H1247"/>
    <mergeCell ref="B1545:H1545"/>
    <mergeCell ref="B364:H364"/>
    <mergeCell ref="B813:D813"/>
    <mergeCell ref="F1794:H1794"/>
    <mergeCell ref="F2092:H2092"/>
    <mergeCell ref="B2607:H2607"/>
    <mergeCell ref="B1852:H1852"/>
    <mergeCell ref="B1242:D1242"/>
    <mergeCell ref="B478:H478"/>
    <mergeCell ref="B65:H65"/>
    <mergeCell ref="B820:H820"/>
    <mergeCell ref="B776:H776"/>
    <mergeCell ref="B1118:H1118"/>
    <mergeCell ref="B1547:H1547"/>
    <mergeCell ref="B815:D815"/>
    <mergeCell ref="B1845:H1845"/>
    <mergeCell ref="F2094:H2094"/>
    <mergeCell ref="B2938:H2938"/>
    <mergeCell ref="F2392:H2392"/>
    <mergeCell ref="F1333:H1333"/>
    <mergeCell ref="B2204:H2204"/>
    <mergeCell ref="B1120:H1120"/>
    <mergeCell ref="B50:H50"/>
    <mergeCell ref="B1418:H1418"/>
    <mergeCell ref="B2931:H2931"/>
    <mergeCell ref="B479:H479"/>
    <mergeCell ref="F759:H759"/>
    <mergeCell ref="B2296:D2296"/>
    <mergeCell ref="B777:H777"/>
    <mergeCell ref="B1413:D1413"/>
    <mergeCell ref="B2206:H2206"/>
    <mergeCell ref="B2504:H2504"/>
    <mergeCell ref="B1749:H1749"/>
    <mergeCell ref="B501:D501"/>
    <mergeCell ref="B1527:D1527"/>
    <mergeCell ref="B55:D55"/>
    <mergeCell ref="F630:H630"/>
    <mergeCell ref="F761:H761"/>
    <mergeCell ref="B169:D169"/>
    <mergeCell ref="F632:H632"/>
    <mergeCell ref="F930:H930"/>
    <mergeCell ref="B526:D526"/>
    <mergeCell ref="B1136:H1136"/>
    <mergeCell ref="F2418:H2418"/>
    <mergeCell ref="B235:H235"/>
    <mergeCell ref="B1565:H1565"/>
    <mergeCell ref="B533:H533"/>
    <mergeCell ref="B1863:H1863"/>
    <mergeCell ref="B831:H831"/>
    <mergeCell ref="B2443:D2443"/>
    <mergeCell ref="B505:H505"/>
    <mergeCell ref="B528:D528"/>
    <mergeCell ref="B826:D826"/>
    <mergeCell ref="B2651:H2651"/>
    <mergeCell ref="B1592:H1592"/>
    <mergeCell ref="B2232:H2232"/>
    <mergeCell ref="B1255:D1255"/>
    <mergeCell ref="B833:H833"/>
    <mergeCell ref="B78:H78"/>
    <mergeCell ref="B2661:H2661"/>
    <mergeCell ref="B376:H376"/>
    <mergeCell ref="B828:D828"/>
  </mergeCells>
  <hyperlinks>
    <hyperlink ref="A1" location="'START HERE'!A1" tooltip="START HERE" display="START"/>
    <hyperlink ref="B1" location="'Dashboard'!A1" tooltip="Dashboard" display="Dash"/>
    <hyperlink ref="C1" location="'Sensor Catalog'!A1" tooltip="Sensor Catalog" display="Sensor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worksheet>
</file>

<file path=xl/worksheets/sheet5.xml><?xml version="1.0" encoding="utf-8"?>
<worksheet xmlns="http://schemas.openxmlformats.org/spreadsheetml/2006/main">
  <sheetPr>
    <tabColor rgb="008C3B2E"/>
    <outlinePr summaryBelow="1" summaryRight="1"/>
    <pageSetUpPr fitToPage="1"/>
  </sheetPr>
  <dimension ref="A1:V5"/>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2" t="inlineStr">
        <is>
          <t>Sensors</t>
        </is>
      </c>
      <c r="D1" s="2" t="inlineStr">
        <is>
          <t>Cards</t>
        </is>
      </c>
      <c r="E1" s="1"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ACTUATORS &amp; OUTPUTS — everything that changes the world</t>
        </is>
      </c>
      <c r="B2" s="4" t="n"/>
      <c r="C2" s="4" t="n"/>
      <c r="D2" s="4" t="n"/>
      <c r="E2" s="4" t="n"/>
      <c r="F2" s="4" t="n"/>
      <c r="G2" s="4" t="n"/>
      <c r="H2" s="4" t="n"/>
      <c r="I2" s="4" t="n"/>
      <c r="J2" s="4" t="n"/>
      <c r="K2" s="4" t="n"/>
      <c r="L2" s="4" t="n"/>
      <c r="M2" s="4" t="n"/>
      <c r="N2" s="4" t="n"/>
      <c r="O2" s="4" t="n"/>
      <c r="P2" s="4" t="n"/>
      <c r="Q2" s="4" t="n"/>
      <c r="R2" s="4" t="n"/>
    </row>
    <row r="3" ht="26" customHeight="1">
      <c r="A3" s="5" t="inlineStr">
        <is>
          <t>You cannot invent with inputs alone. Sense → decide → ACT.</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sheetData>
  <mergeCells count="2">
    <mergeCell ref="A3:R3"/>
    <mergeCell ref="A2:R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pageSetup orientation="landscape" fitToHeight="0" fitToWidth="1"/>
</worksheet>
</file>

<file path=xl/worksheets/sheet6.xml><?xml version="1.0" encoding="utf-8"?>
<worksheet xmlns="http://schemas.openxmlformats.org/spreadsheetml/2006/main">
  <sheetPr>
    <tabColor rgb="004A5878"/>
    <outlinePr summaryBelow="1" summaryRight="1"/>
    <pageSetUpPr fitToPage="1"/>
  </sheetPr>
  <dimension ref="A1:V5"/>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2" t="inlineStr">
        <is>
          <t>Sensors</t>
        </is>
      </c>
      <c r="D1" s="2" t="inlineStr">
        <is>
          <t>Cards</t>
        </is>
      </c>
      <c r="E1" s="2" t="inlineStr">
        <is>
          <t>Actuators</t>
        </is>
      </c>
      <c r="F1" s="1"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GLUE &amp; SIGNAL CHAIN — the parts that make the others work</t>
        </is>
      </c>
      <c r="B2" s="4" t="n"/>
      <c r="C2" s="4" t="n"/>
      <c r="D2" s="4" t="n"/>
      <c r="E2" s="4" t="n"/>
      <c r="F2" s="4" t="n"/>
      <c r="G2" s="4" t="n"/>
      <c r="H2" s="4" t="n"/>
      <c r="I2" s="4" t="n"/>
      <c r="J2" s="4" t="n"/>
      <c r="K2" s="4" t="n"/>
      <c r="L2" s="4" t="n"/>
      <c r="M2" s="4" t="n"/>
      <c r="N2" s="4" t="n"/>
      <c r="O2" s="4" t="n"/>
      <c r="P2" s="4" t="n"/>
      <c r="Q2" s="4" t="n"/>
      <c r="R2" s="4" t="n"/>
    </row>
    <row r="3" ht="26" customHeight="1">
      <c r="A3" s="5" t="inlineStr">
        <is>
          <t>ADCs, amplifiers, multiplexers, isolators, power. Unglamorous and decisive.</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sheetData>
  <mergeCells count="2">
    <mergeCell ref="A3:R3"/>
    <mergeCell ref="A2:R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pageSetup orientation="landscape" fitToHeight="0" fitToWidth="1"/>
</worksheet>
</file>

<file path=xl/worksheets/sheet7.xml><?xml version="1.0" encoding="utf-8"?>
<worksheet xmlns="http://schemas.openxmlformats.org/spreadsheetml/2006/main">
  <sheetPr>
    <tabColor rgb="002F5D50"/>
    <outlinePr summaryBelow="1" summaryRight="1"/>
    <pageSetUpPr fitToPage="1"/>
  </sheetPr>
  <dimension ref="A1:V5"/>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2" t="inlineStr">
        <is>
          <t>Sensors</t>
        </is>
      </c>
      <c r="D1" s="2" t="inlineStr">
        <is>
          <t>Cards</t>
        </is>
      </c>
      <c r="E1" s="2" t="inlineStr">
        <is>
          <t>Actuators</t>
        </is>
      </c>
      <c r="F1" s="2" t="inlineStr">
        <is>
          <t>Glue</t>
        </is>
      </c>
      <c r="G1" s="1"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BOARDS &amp; COMPUTE — which ESP32, and why</t>
        </is>
      </c>
      <c r="B2" s="4" t="n"/>
      <c r="C2" s="4" t="n"/>
      <c r="D2" s="4" t="n"/>
      <c r="E2" s="4" t="n"/>
      <c r="F2" s="4" t="n"/>
      <c r="G2" s="4" t="n"/>
      <c r="H2" s="4" t="n"/>
      <c r="I2" s="4" t="n"/>
      <c r="J2" s="4" t="n"/>
      <c r="K2" s="4" t="n"/>
      <c r="L2" s="4" t="n"/>
      <c r="M2" s="4" t="n"/>
      <c r="N2" s="4" t="n"/>
      <c r="O2" s="4" t="n"/>
      <c r="P2" s="4" t="n"/>
      <c r="Q2" s="4" t="n"/>
      <c r="R2" s="4" t="n"/>
    </row>
    <row r="3" ht="26" customHeight="1">
      <c r="A3" s="5" t="inlineStr">
        <is>
          <t>The variants differ more than people expect: C3/C6/H2 have no touch peripheral and no DAC, and only S2/S3/P4 realistically drive cameras.</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sheetData>
  <mergeCells count="2">
    <mergeCell ref="A3:R3"/>
    <mergeCell ref="A2:R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pageSetup orientation="landscape" fitToHeight="0" fitToWidth="1"/>
</worksheet>
</file>

<file path=xl/worksheets/sheet8.xml><?xml version="1.0" encoding="utf-8"?>
<worksheet xmlns="http://schemas.openxmlformats.org/spreadsheetml/2006/main">
  <sheetPr>
    <tabColor rgb="006E8B74"/>
    <outlinePr summaryBelow="1" summaryRight="1"/>
    <pageSetUpPr/>
  </sheetPr>
  <dimension ref="A1:V42"/>
  <sheetViews>
    <sheetView showGridLines="0" zoomScale="10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6" customWidth="1" min="3" max="3"/>
    <col width="26" customWidth="1" min="4" max="4"/>
    <col width="28" customWidth="1" min="5" max="5"/>
    <col width="24" customWidth="1" min="6" max="6"/>
    <col width="60" customWidth="1" min="7" max="7"/>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1"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PHENOMENON INDEX — “I want to measure X”</t>
        </is>
      </c>
      <c r="B2" s="4" t="n"/>
      <c r="C2" s="4" t="n"/>
      <c r="D2" s="4" t="n"/>
      <c r="E2" s="4" t="n"/>
      <c r="F2" s="4" t="n"/>
      <c r="G2" s="4" t="n"/>
    </row>
    <row r="3" ht="26" customHeight="1">
      <c r="A3" s="5" t="inlineStr">
        <is>
          <t>Reverse lookup. Pick the physical quantity, see every part that can sense it, sorted cheapest first, with the trade-off made explicit.</t>
        </is>
      </c>
    </row>
    <row r="4">
      <c r="A4" s="24" t="inlineStr">
        <is>
          <t>Phenomenon</t>
        </is>
      </c>
      <c r="B4" s="24" t="inlineStr">
        <is>
          <t>What it is</t>
        </is>
      </c>
      <c r="C4" s="24" t="inlineStr">
        <is>
          <t>#</t>
        </is>
      </c>
      <c r="D4" s="24" t="inlineStr">
        <is>
          <t>Cheapest route</t>
        </is>
      </c>
      <c r="E4" s="24" t="inlineStr">
        <is>
          <t>No-contact route</t>
        </is>
      </c>
      <c r="F4" s="24" t="inlineStr">
        <is>
          <t>Lowest-power route</t>
        </is>
      </c>
      <c r="G4" s="24" t="inlineStr">
        <is>
          <t>All parts</t>
        </is>
      </c>
    </row>
    <row r="5" ht="30" customHeight="1">
      <c r="A5" s="72" t="inlineStr">
        <is>
          <t>temperature-contact</t>
        </is>
      </c>
      <c r="B5" s="12" t="inlineStr">
        <is>
          <t>Temperature of something it touches</t>
        </is>
      </c>
      <c r="C5" s="29" t="n">
        <v>10</v>
      </c>
      <c r="D5" s="12" t="inlineStr">
        <is>
          <t>NTC thermistor 10k ($0.3)</t>
        </is>
      </c>
      <c r="E5" s="12" t="inlineStr">
        <is>
          <t>DHT22 / AM2302 — Standoff</t>
        </is>
      </c>
      <c r="F5" s="12" t="inlineStr">
        <is>
          <t>TMP117 ultra-precise temp (3.5µA avg @1Hz)</t>
        </is>
      </c>
      <c r="G5" s="12" t="inlineStr">
        <is>
          <t>NTC thermistor 10k · DS18B20 digital temp probe · DHT22 / AM2302 · MCP9808 precision temp · SHT41 humidity + temp · BME280 climate combo · TMP117 ultra-precise temp · MAX31855 thermocouple amp · BME688 gas + climate AI · SCD41 true CO2</t>
        </is>
      </c>
    </row>
    <row r="6" ht="30" customHeight="1">
      <c r="A6" s="72" t="inlineStr">
        <is>
          <t>temperature-remote</t>
        </is>
      </c>
      <c r="B6" s="12" t="inlineStr">
        <is>
          <t>Surface temperature at a distance (IR emission)</t>
        </is>
      </c>
      <c r="C6" s="29" t="n">
        <v>3</v>
      </c>
      <c r="D6" s="12" t="inlineStr">
        <is>
          <t>HC-SR501 PIR motion ($1.5)</t>
        </is>
      </c>
      <c r="E6" s="12" t="inlineStr">
        <is>
          <t>HC-SR501 PIR motion — Standoff</t>
        </is>
      </c>
      <c r="F6" s="12" t="inlineStr">
        <is>
          <t>HC-SR501 PIR motion (50µA idle)</t>
        </is>
      </c>
      <c r="G6" s="12" t="inlineStr">
        <is>
          <t>HC-SR501 PIR motion · MLX90614 IR thermometer · Grid-EYE AMG8833 thermal array</t>
        </is>
      </c>
    </row>
    <row r="7" ht="30" customHeight="1">
      <c r="A7" s="72" t="inlineStr">
        <is>
          <t>temperature-field</t>
        </is>
      </c>
      <c r="B7" s="12" t="inlineStr">
        <is>
          <t>A 2D map of temperatures</t>
        </is>
      </c>
      <c r="C7" s="29" t="n">
        <v>1</v>
      </c>
      <c r="D7" s="12" t="inlineStr">
        <is>
          <t>Grid-EYE AMG8833 thermal array ($35)</t>
        </is>
      </c>
      <c r="E7" s="12" t="inlineStr">
        <is>
          <t>Grid-EYE AMG8833 thermal array — Standoff</t>
        </is>
      </c>
      <c r="F7" s="12" t="inlineStr">
        <is>
          <t>Grid-EYE AMG8833 thermal array (4.5mA)</t>
        </is>
      </c>
      <c r="G7" s="12" t="inlineStr">
        <is>
          <t>Grid-EYE AMG8833 thermal array</t>
        </is>
      </c>
    </row>
    <row r="8" ht="30" customHeight="1">
      <c r="A8" s="72" t="inlineStr">
        <is>
          <t>humidity-relative</t>
        </is>
      </c>
      <c r="B8" s="12" t="inlineStr">
        <is>
          <t>Water vapour in air, as % of saturation</t>
        </is>
      </c>
      <c r="C8" s="29" t="n">
        <v>5</v>
      </c>
      <c r="D8" s="12" t="inlineStr">
        <is>
          <t>DHT22 / AM2302 ($4)</t>
        </is>
      </c>
      <c r="E8" s="12" t="inlineStr">
        <is>
          <t>DHT22 / AM2302 — Standoff</t>
        </is>
      </c>
      <c r="F8" s="12" t="inlineStr">
        <is>
          <t>BME280 climate combo (3.6µA @1Hz all sensors)</t>
        </is>
      </c>
      <c r="G8" s="12" t="inlineStr">
        <is>
          <t>DHT22 / AM2302 · SHT41 humidity + temp · BME280 climate combo · BME688 gas + climate AI · SCD41 true CO2</t>
        </is>
      </c>
    </row>
    <row r="9" ht="30" customHeight="1">
      <c r="A9" s="72" t="inlineStr">
        <is>
          <t>moisture-material</t>
        </is>
      </c>
      <c r="B9" s="12" t="inlineStr">
        <is>
          <t>Water content inside a solid (soil, grain, wood)</t>
        </is>
      </c>
      <c r="C9" s="29" t="n">
        <v>1</v>
      </c>
      <c r="D9" s="12" t="inlineStr">
        <is>
          <t>Capacitive soil moisture v2 ($2)</t>
        </is>
      </c>
      <c r="E9" s="12" t="inlineStr">
        <is>
          <t>—</t>
        </is>
      </c>
      <c r="F9" s="12" t="inlineStr">
        <is>
          <t>Capacitive soil moisture v2 (5mA)</t>
        </is>
      </c>
      <c r="G9" s="12" t="inlineStr">
        <is>
          <t>Capacitive soil moisture v2</t>
        </is>
      </c>
    </row>
    <row r="10" ht="30" customHeight="1">
      <c r="A10" s="72" t="inlineStr">
        <is>
          <t>dew-point</t>
        </is>
      </c>
      <c r="B10" s="12" t="inlineStr">
        <is>
          <t>Temperature at which air will condense</t>
        </is>
      </c>
      <c r="C10" s="29" t="n">
        <v>2</v>
      </c>
      <c r="D10" s="12" t="inlineStr">
        <is>
          <t>SHT41 humidity + temp ($6)</t>
        </is>
      </c>
      <c r="E10" s="12" t="inlineStr">
        <is>
          <t>SHT41 humidity + temp — Standoff</t>
        </is>
      </c>
      <c r="F10" s="12" t="inlineStr">
        <is>
          <t>BME280 climate combo (3.6µA @1Hz all sensors)</t>
        </is>
      </c>
      <c r="G10" s="12" t="inlineStr">
        <is>
          <t>SHT41 humidity + temp · BME280 climate combo</t>
        </is>
      </c>
    </row>
    <row r="11" ht="30" customHeight="1">
      <c r="A11" s="72" t="inlineStr">
        <is>
          <t>pressure-absolute</t>
        </is>
      </c>
      <c r="B11" s="12" t="inlineStr">
        <is>
          <t>Total pressure including atmosphere</t>
        </is>
      </c>
      <c r="C11" s="29" t="n">
        <v>3</v>
      </c>
      <c r="D11" s="12" t="inlineStr">
        <is>
          <t>BME280 climate combo ($6)</t>
        </is>
      </c>
      <c r="E11" s="12" t="inlineStr">
        <is>
          <t>BME280 climate combo — Standoff</t>
        </is>
      </c>
      <c r="F11" s="12" t="inlineStr">
        <is>
          <t>BMP390 precision barometer (3.2µA @1Hz)</t>
        </is>
      </c>
      <c r="G11" s="12" t="inlineStr">
        <is>
          <t>BME280 climate combo · BMP390 precision barometer · BME688 gas + climate AI</t>
        </is>
      </c>
    </row>
    <row r="12" ht="30" customHeight="1">
      <c r="A12" s="72" t="inlineStr">
        <is>
          <t>pressure-differential</t>
        </is>
      </c>
      <c r="B12" s="12" t="inlineStr">
        <is>
          <t>Difference between two points — the basis of airflow</t>
        </is>
      </c>
      <c r="C12" s="29" t="n">
        <v>1</v>
      </c>
      <c r="D12" s="12" t="inlineStr">
        <is>
          <t>SDP810 differential pressure ($35)</t>
        </is>
      </c>
      <c r="E12" s="12" t="inlineStr">
        <is>
          <t>SDP810 differential pressure — Through-barrier</t>
        </is>
      </c>
      <c r="F12" s="12" t="inlineStr">
        <is>
          <t>SDP810 differential pressure (5mA)</t>
        </is>
      </c>
      <c r="G12" s="12" t="inlineStr">
        <is>
          <t>SDP810 differential pressure</t>
        </is>
      </c>
    </row>
    <row r="13" ht="30" customHeight="1">
      <c r="A13" s="72" t="inlineStr">
        <is>
          <t>altitude-barometric</t>
        </is>
      </c>
      <c r="B13" s="12" t="inlineStr">
        <is>
          <t>Height inferred from air pressure</t>
        </is>
      </c>
      <c r="C13" s="29" t="n">
        <v>2</v>
      </c>
      <c r="D13" s="12" t="inlineStr">
        <is>
          <t>BME280 climate combo ($6)</t>
        </is>
      </c>
      <c r="E13" s="12" t="inlineStr">
        <is>
          <t>BME280 climate combo — Standoff</t>
        </is>
      </c>
      <c r="F13" s="12" t="inlineStr">
        <is>
          <t>BMP390 precision barometer (3.2µA @1Hz)</t>
        </is>
      </c>
      <c r="G13" s="12" t="inlineStr">
        <is>
          <t>BME280 climate combo · BMP390 precision barometer</t>
        </is>
      </c>
    </row>
    <row r="14" ht="30" customHeight="1">
      <c r="A14" s="72" t="inlineStr">
        <is>
          <t>flow-liquid</t>
        </is>
      </c>
      <c r="B14" s="12" t="inlineStr">
        <is>
          <t>Volume of liquid per unit time</t>
        </is>
      </c>
      <c r="C14" s="29" t="n">
        <v>1</v>
      </c>
      <c r="D14" s="12" t="inlineStr">
        <is>
          <t>YF-S201 flow sensor ($5)</t>
        </is>
      </c>
      <c r="E14" s="12" t="inlineStr">
        <is>
          <t>—</t>
        </is>
      </c>
      <c r="F14" s="12" t="inlineStr">
        <is>
          <t>YF-S201 flow sensor (15mA)</t>
        </is>
      </c>
      <c r="G14" s="12" t="inlineStr">
        <is>
          <t>YF-S201 flow sensor</t>
        </is>
      </c>
    </row>
    <row r="15" ht="30" customHeight="1">
      <c r="A15" s="72" t="inlineStr">
        <is>
          <t>flow-gas</t>
        </is>
      </c>
      <c r="B15" s="12" t="inlineStr">
        <is>
          <t>Volume or mass of gas per unit time</t>
        </is>
      </c>
      <c r="C15" s="29" t="n">
        <v>1</v>
      </c>
      <c r="D15" s="12" t="inlineStr">
        <is>
          <t>SDP810 differential pressure ($35)</t>
        </is>
      </c>
      <c r="E15" s="12" t="inlineStr">
        <is>
          <t>SDP810 differential pressure — Through-barrier</t>
        </is>
      </c>
      <c r="F15" s="12" t="inlineStr">
        <is>
          <t>SDP810 differential pressure (5mA)</t>
        </is>
      </c>
      <c r="G15" s="12" t="inlineStr">
        <is>
          <t>SDP810 differential pressure</t>
        </is>
      </c>
    </row>
    <row r="16" ht="30" customHeight="1">
      <c r="A16" s="72" t="inlineStr">
        <is>
          <t>air-velocity</t>
        </is>
      </c>
      <c r="B16" s="12" t="inlineStr">
        <is>
          <t>Speed of moving air</t>
        </is>
      </c>
      <c r="C16" s="29" t="n">
        <v>1</v>
      </c>
      <c r="D16" s="12" t="inlineStr">
        <is>
          <t>SDP810 differential pressure ($35)</t>
        </is>
      </c>
      <c r="E16" s="12" t="inlineStr">
        <is>
          <t>SDP810 differential pressure — Through-barrier</t>
        </is>
      </c>
      <c r="F16" s="12" t="inlineStr">
        <is>
          <t>SDP810 differential pressure (5mA)</t>
        </is>
      </c>
      <c r="G16" s="12" t="inlineStr">
        <is>
          <t>SDP810 differential pressure</t>
        </is>
      </c>
    </row>
    <row r="17" ht="30" customHeight="1">
      <c r="A17" s="72" t="inlineStr">
        <is>
          <t>illuminance</t>
        </is>
      </c>
      <c r="B17" s="12" t="inlineStr">
        <is>
          <t>Visible light intensity, human-weighted</t>
        </is>
      </c>
      <c r="C17" s="29" t="n">
        <v>2</v>
      </c>
      <c r="D17" s="12" t="inlineStr">
        <is>
          <t>Photoresistor (LDR) ($0.2)</t>
        </is>
      </c>
      <c r="E17" s="12" t="inlineStr">
        <is>
          <t>Photoresistor (LDR) — Standoff</t>
        </is>
      </c>
      <c r="F17" s="12" t="inlineStr">
        <is>
          <t>Photoresistor (LDR) (divider current)</t>
        </is>
      </c>
      <c r="G17" s="12" t="inlineStr">
        <is>
          <t>Photoresistor (LDR) · BH1750 lux sensor</t>
        </is>
      </c>
    </row>
    <row r="18" ht="30" customHeight="1">
      <c r="A18" s="72" t="inlineStr">
        <is>
          <t>distance-point</t>
        </is>
      </c>
      <c r="B18" s="12" t="inlineStr">
        <is>
          <t>Range to one target</t>
        </is>
      </c>
      <c r="C18" s="29" t="n">
        <v>3</v>
      </c>
      <c r="D18" s="12" t="inlineStr">
        <is>
          <t>HC-SR04 ultrasonic ($1.5)</t>
        </is>
      </c>
      <c r="E18" s="12" t="inlineStr">
        <is>
          <t>HC-SR04 ultrasonic — Standoff</t>
        </is>
      </c>
      <c r="F18" s="12" t="inlineStr">
        <is>
          <t>HC-SR04 ultrasonic (15mA)</t>
        </is>
      </c>
      <c r="G18" s="12" t="inlineStr">
        <is>
          <t>HC-SR04 ultrasonic · VL53L0X ToF laser · LD2410 mmWave presence</t>
        </is>
      </c>
    </row>
    <row r="19" ht="30" customHeight="1">
      <c r="A19" s="72" t="inlineStr">
        <is>
          <t>tilt</t>
        </is>
      </c>
      <c r="B19" s="12" t="inlineStr">
        <is>
          <t>Orientation with respect to gravity</t>
        </is>
      </c>
      <c r="C19" s="29" t="n">
        <v>2</v>
      </c>
      <c r="D19" s="12" t="inlineStr">
        <is>
          <t>MPU-6050 6-axis IMU ($2)</t>
        </is>
      </c>
      <c r="E19" s="12" t="inlineStr">
        <is>
          <t>—</t>
        </is>
      </c>
      <c r="F19" s="12" t="inlineStr">
        <is>
          <t>ADXL345 accelerometer (40µA)</t>
        </is>
      </c>
      <c r="G19" s="12" t="inlineStr">
        <is>
          <t>MPU-6050 6-axis IMU · ADXL345 accelerometer</t>
        </is>
      </c>
    </row>
    <row r="20" ht="30" customHeight="1">
      <c r="A20" s="72" t="inlineStr">
        <is>
          <t>acceleration</t>
        </is>
      </c>
      <c r="B20" s="12" t="inlineStr">
        <is>
          <t>Linear acceleration including gravity</t>
        </is>
      </c>
      <c r="C20" s="29" t="n">
        <v>2</v>
      </c>
      <c r="D20" s="12" t="inlineStr">
        <is>
          <t>MPU-6050 6-axis IMU ($2)</t>
        </is>
      </c>
      <c r="E20" s="12" t="inlineStr">
        <is>
          <t>—</t>
        </is>
      </c>
      <c r="F20" s="12" t="inlineStr">
        <is>
          <t>ADXL345 accelerometer (40µA)</t>
        </is>
      </c>
      <c r="G20" s="12" t="inlineStr">
        <is>
          <t>MPU-6050 6-axis IMU · ADXL345 accelerometer</t>
        </is>
      </c>
    </row>
    <row r="21" ht="30" customHeight="1">
      <c r="A21" s="72" t="inlineStr">
        <is>
          <t>angular-rate</t>
        </is>
      </c>
      <c r="B21" s="12" t="inlineStr">
        <is>
          <t>Rate of rotation</t>
        </is>
      </c>
      <c r="C21" s="29" t="n">
        <v>1</v>
      </c>
      <c r="D21" s="12" t="inlineStr">
        <is>
          <t>MPU-6050 6-axis IMU ($2)</t>
        </is>
      </c>
      <c r="E21" s="12" t="inlineStr">
        <is>
          <t>—</t>
        </is>
      </c>
      <c r="F21" s="12" t="inlineStr">
        <is>
          <t>MPU-6050 6-axis IMU (3.8mA)</t>
        </is>
      </c>
      <c r="G21" s="12" t="inlineStr">
        <is>
          <t>MPU-6050 6-axis IMU</t>
        </is>
      </c>
    </row>
    <row r="22" ht="30" customHeight="1">
      <c r="A22" s="72" t="inlineStr">
        <is>
          <t>vibration</t>
        </is>
      </c>
      <c r="B22" s="12" t="inlineStr">
        <is>
          <t>Oscillatory mechanical energy, usually spectral</t>
        </is>
      </c>
      <c r="C22" s="29" t="n">
        <v>3</v>
      </c>
      <c r="D22" s="12" t="inlineStr">
        <is>
          <t>Piezo contact mic / disc ($0.5)</t>
        </is>
      </c>
      <c r="E22" s="12" t="inlineStr">
        <is>
          <t>—</t>
        </is>
      </c>
      <c r="F22" s="12" t="inlineStr">
        <is>
          <t>Piezo contact mic / disc (0 (generates!))</t>
        </is>
      </c>
      <c r="G22" s="12" t="inlineStr">
        <is>
          <t>Piezo contact mic / disc · MPU-6050 6-axis IMU · ADXL345 accelerometer</t>
        </is>
      </c>
    </row>
    <row r="23" ht="30" customHeight="1">
      <c r="A23" s="72" t="inlineStr">
        <is>
          <t>shock-impact</t>
        </is>
      </c>
      <c r="B23" s="12" t="inlineStr">
        <is>
          <t>A single high-g event</t>
        </is>
      </c>
      <c r="C23" s="29" t="n">
        <v>2</v>
      </c>
      <c r="D23" s="12" t="inlineStr">
        <is>
          <t>Piezo contact mic / disc ($0.5)</t>
        </is>
      </c>
      <c r="E23" s="12" t="inlineStr">
        <is>
          <t>—</t>
        </is>
      </c>
      <c r="F23" s="12" t="inlineStr">
        <is>
          <t>Piezo contact mic / disc (0 (generates!))</t>
        </is>
      </c>
      <c r="G23" s="12" t="inlineStr">
        <is>
          <t>Piezo contact mic / disc · ADXL345 accelerometer</t>
        </is>
      </c>
    </row>
    <row r="24" ht="30" customHeight="1">
      <c r="A24" s="72" t="inlineStr">
        <is>
          <t>force</t>
        </is>
      </c>
      <c r="B24" s="12" t="inlineStr">
        <is>
          <t>Push or pull along an axis</t>
        </is>
      </c>
      <c r="C24" s="29" t="n">
        <v>1</v>
      </c>
      <c r="D24" s="12" t="inlineStr">
        <is>
          <t>HX711 + load cell ($5)</t>
        </is>
      </c>
      <c r="E24" s="12" t="inlineStr">
        <is>
          <t>—</t>
        </is>
      </c>
      <c r="F24" s="12" t="inlineStr">
        <is>
          <t>HX711 + load cell (1.5mA (sleep 1µA))</t>
        </is>
      </c>
      <c r="G24" s="12" t="inlineStr">
        <is>
          <t>HX711 + load cell</t>
        </is>
      </c>
    </row>
    <row r="25" ht="30" customHeight="1">
      <c r="A25" s="72" t="inlineStr">
        <is>
          <t>weight</t>
        </is>
      </c>
      <c r="B25" s="12" t="inlineStr">
        <is>
          <t>Force due to gravity on a mass</t>
        </is>
      </c>
      <c r="C25" s="29" t="n">
        <v>1</v>
      </c>
      <c r="D25" s="12" t="inlineStr">
        <is>
          <t>HX711 + load cell ($5)</t>
        </is>
      </c>
      <c r="E25" s="12" t="inlineStr">
        <is>
          <t>—</t>
        </is>
      </c>
      <c r="F25" s="12" t="inlineStr">
        <is>
          <t>HX711 + load cell (1.5mA (sleep 1µA))</t>
        </is>
      </c>
      <c r="G25" s="12" t="inlineStr">
        <is>
          <t>HX711 + load cell</t>
        </is>
      </c>
    </row>
    <row r="26" ht="30" customHeight="1">
      <c r="A26" s="72" t="inlineStr">
        <is>
          <t>strain</t>
        </is>
      </c>
      <c r="B26" s="12" t="inlineStr">
        <is>
          <t>Deformation of a structure under load</t>
        </is>
      </c>
      <c r="C26" s="29" t="n">
        <v>1</v>
      </c>
      <c r="D26" s="12" t="inlineStr">
        <is>
          <t>HX711 + load cell ($5)</t>
        </is>
      </c>
      <c r="E26" s="12" t="inlineStr">
        <is>
          <t>—</t>
        </is>
      </c>
      <c r="F26" s="12" t="inlineStr">
        <is>
          <t>HX711 + load cell (1.5mA (sleep 1µA))</t>
        </is>
      </c>
      <c r="G26" s="12" t="inlineStr">
        <is>
          <t>HX711 + load cell</t>
        </is>
      </c>
    </row>
    <row r="27" ht="30" customHeight="1">
      <c r="A27" s="72" t="inlineStr">
        <is>
          <t>sound-pressure</t>
        </is>
      </c>
      <c r="B27" s="12" t="inlineStr">
        <is>
          <t>Airborne acoustic pressure</t>
        </is>
      </c>
      <c r="C27" s="29" t="n">
        <v>1</v>
      </c>
      <c r="D27" s="12" t="inlineStr">
        <is>
          <t>INMP441 I2S MEMS mic ($3)</t>
        </is>
      </c>
      <c r="E27" s="12" t="inlineStr">
        <is>
          <t>INMP441 I2S MEMS mic — Standoff</t>
        </is>
      </c>
      <c r="F27" s="12" t="inlineStr">
        <is>
          <t>INMP441 I2S MEMS mic (1.4mA)</t>
        </is>
      </c>
      <c r="G27" s="12" t="inlineStr">
        <is>
          <t>INMP441 I2S MEMS mic</t>
        </is>
      </c>
    </row>
    <row r="28" ht="30" customHeight="1">
      <c r="A28" s="72" t="inlineStr">
        <is>
          <t>sound-structural</t>
        </is>
      </c>
      <c r="B28" s="12" t="inlineStr">
        <is>
          <t>Vibration travelling through a solid</t>
        </is>
      </c>
      <c r="C28" s="29" t="n">
        <v>1</v>
      </c>
      <c r="D28" s="12" t="inlineStr">
        <is>
          <t>Piezo contact mic / disc ($0.5)</t>
        </is>
      </c>
      <c r="E28" s="12" t="inlineStr">
        <is>
          <t>—</t>
        </is>
      </c>
      <c r="F28" s="12" t="inlineStr">
        <is>
          <t>Piezo contact mic / disc (0 (generates!))</t>
        </is>
      </c>
      <c r="G28" s="12" t="inlineStr">
        <is>
          <t>Piezo contact mic / disc</t>
        </is>
      </c>
    </row>
    <row r="29" ht="30" customHeight="1">
      <c r="A29" s="72" t="inlineStr">
        <is>
          <t>ultrasound</t>
        </is>
      </c>
      <c r="B29" s="12" t="inlineStr">
        <is>
          <t>Acoustic energy above human hearing</t>
        </is>
      </c>
      <c r="C29" s="29" t="n">
        <v>1</v>
      </c>
      <c r="D29" s="12" t="inlineStr">
        <is>
          <t>HC-SR04 ultrasonic ($1.5)</t>
        </is>
      </c>
      <c r="E29" s="12" t="inlineStr">
        <is>
          <t>HC-SR04 ultrasonic — Standoff</t>
        </is>
      </c>
      <c r="F29" s="12" t="inlineStr">
        <is>
          <t>HC-SR04 ultrasonic (15mA)</t>
        </is>
      </c>
      <c r="G29" s="12" t="inlineStr">
        <is>
          <t>HC-SR04 ultrasonic</t>
        </is>
      </c>
    </row>
    <row r="30" ht="30" customHeight="1">
      <c r="A30" s="72" t="inlineStr">
        <is>
          <t>current-ac</t>
        </is>
      </c>
      <c r="B30" s="12" t="inlineStr">
        <is>
          <t>Alternating current</t>
        </is>
      </c>
      <c r="C30" s="29" t="n">
        <v>1</v>
      </c>
      <c r="D30" s="12" t="inlineStr">
        <is>
          <t>SCT-013 CT clamp ($10)</t>
        </is>
      </c>
      <c r="E30" s="12" t="inlineStr">
        <is>
          <t>SCT-013 CT clamp — Through-barrier</t>
        </is>
      </c>
      <c r="F30" s="12" t="inlineStr">
        <is>
          <t>SCT-013 CT clamp (0)</t>
        </is>
      </c>
      <c r="G30" s="12" t="inlineStr">
        <is>
          <t>SCT-013 CT clamp</t>
        </is>
      </c>
    </row>
    <row r="31" ht="30" customHeight="1">
      <c r="A31" s="72" t="inlineStr">
        <is>
          <t>resistance</t>
        </is>
      </c>
      <c r="B31" s="12" t="inlineStr">
        <is>
          <t>Opposition to current flow</t>
        </is>
      </c>
      <c r="C31" s="29" t="n">
        <v>2</v>
      </c>
      <c r="D31" s="12" t="inlineStr">
        <is>
          <t>Photoresistor (LDR) ($0.2)</t>
        </is>
      </c>
      <c r="E31" s="12" t="inlineStr">
        <is>
          <t>Photoresistor (LDR) — Standoff</t>
        </is>
      </c>
      <c r="F31" s="12" t="inlineStr">
        <is>
          <t>NTC thermistor 10k (µA (divider dependent))</t>
        </is>
      </c>
      <c r="G31" s="12" t="inlineStr">
        <is>
          <t>Photoresistor (LDR) · NTC thermistor 10k</t>
        </is>
      </c>
    </row>
    <row r="32" ht="30" customHeight="1">
      <c r="A32" s="72" t="inlineStr">
        <is>
          <t>capacitance</t>
        </is>
      </c>
      <c r="B32" s="12" t="inlineStr">
        <is>
          <t>Ability to store charge — changes with nearby matter</t>
        </is>
      </c>
      <c r="C32" s="29" t="n">
        <v>2</v>
      </c>
      <c r="D32" s="12" t="inlineStr">
        <is>
          <t>ESP32 native touch pins ($0)</t>
        </is>
      </c>
      <c r="E32" s="12" t="inlineStr">
        <is>
          <t>MPR121 12-pad cap touch — Through-barrier</t>
        </is>
      </c>
      <c r="F32" s="12" t="inlineStr">
        <is>
          <t>ESP32 native touch pins (touch wake ~µA)</t>
        </is>
      </c>
      <c r="G32" s="12" t="inlineStr">
        <is>
          <t>ESP32 native touch pins · MPR121 12-pad cap touch</t>
        </is>
      </c>
    </row>
    <row r="33" ht="30" customHeight="1">
      <c r="A33" s="72" t="inlineStr">
        <is>
          <t>magnetic-field</t>
        </is>
      </c>
      <c r="B33" s="12" t="inlineStr">
        <is>
          <t>Magnetic flux density and direction</t>
        </is>
      </c>
      <c r="C33" s="29" t="n">
        <v>1</v>
      </c>
      <c r="D33" s="12" t="inlineStr">
        <is>
          <t>Reed switch ($0.5)</t>
        </is>
      </c>
      <c r="E33" s="12" t="inlineStr">
        <is>
          <t>Reed switch — Standoff</t>
        </is>
      </c>
      <c r="F33" s="12" t="inlineStr">
        <is>
          <t>Reed switch (0 (zero!))</t>
        </is>
      </c>
      <c r="G33" s="12" t="inlineStr">
        <is>
          <t>Reed switch</t>
        </is>
      </c>
    </row>
    <row r="34" ht="30" customHeight="1">
      <c r="A34" s="72" t="inlineStr">
        <is>
          <t>gas-concentration</t>
        </is>
      </c>
      <c r="B34" s="12" t="inlineStr">
        <is>
          <t>Concentration of a specific gas</t>
        </is>
      </c>
      <c r="C34" s="29" t="n">
        <v>2</v>
      </c>
      <c r="D34" s="12" t="inlineStr">
        <is>
          <t>MQ-2 smoke/LPG gas ($2)</t>
        </is>
      </c>
      <c r="E34" s="12" t="inlineStr">
        <is>
          <t>MQ-2 smoke/LPG gas — Standoff</t>
        </is>
      </c>
      <c r="F34" s="12" t="inlineStr">
        <is>
          <t>BME688 gas + climate AI (0.9mA gas scan)</t>
        </is>
      </c>
      <c r="G34" s="12" t="inlineStr">
        <is>
          <t>MQ-2 smoke/LPG gas · BME688 gas + climate AI</t>
        </is>
      </c>
    </row>
    <row r="35" ht="30" customHeight="1">
      <c r="A35" s="72" t="inlineStr">
        <is>
          <t>voc-index</t>
        </is>
      </c>
      <c r="B35" s="12" t="inlineStr">
        <is>
          <t>Aggregate volatile organic compound level</t>
        </is>
      </c>
      <c r="C35" s="29" t="n">
        <v>1</v>
      </c>
      <c r="D35" s="12" t="inlineStr">
        <is>
          <t>BME688 gas + climate AI ($15)</t>
        </is>
      </c>
      <c r="E35" s="12" t="inlineStr">
        <is>
          <t>BME688 gas + climate AI — Standoff</t>
        </is>
      </c>
      <c r="F35" s="12" t="inlineStr">
        <is>
          <t>BME688 gas + climate AI (0.9mA gas scan)</t>
        </is>
      </c>
      <c r="G35" s="12" t="inlineStr">
        <is>
          <t>BME688 gas + climate AI</t>
        </is>
      </c>
    </row>
    <row r="36" ht="30" customHeight="1">
      <c r="A36" s="72" t="inlineStr">
        <is>
          <t>co2-concentration</t>
        </is>
      </c>
      <c r="B36" s="12" t="inlineStr">
        <is>
          <t>Carbon dioxide concentration</t>
        </is>
      </c>
      <c r="C36" s="29" t="n">
        <v>1</v>
      </c>
      <c r="D36" s="12" t="inlineStr">
        <is>
          <t>SCD41 true CO2 ($25)</t>
        </is>
      </c>
      <c r="E36" s="12" t="inlineStr">
        <is>
          <t>SCD41 true CO2 — Standoff</t>
        </is>
      </c>
      <c r="F36" s="12" t="inlineStr">
        <is>
          <t>SCD41 true CO2 (0.5mA @ 1 meas/5min single-shot (~205mA peak during a measurement))</t>
        </is>
      </c>
      <c r="G36" s="12" t="inlineStr">
        <is>
          <t>SCD41 true CO2</t>
        </is>
      </c>
    </row>
    <row r="37" ht="30" customHeight="1">
      <c r="A37" s="72" t="inlineStr">
        <is>
          <t>particulate-mass</t>
        </is>
      </c>
      <c r="B37" s="12" t="inlineStr">
        <is>
          <t>Mass of suspended particles per volume</t>
        </is>
      </c>
      <c r="C37" s="29" t="n">
        <v>1</v>
      </c>
      <c r="D37" s="12" t="inlineStr">
        <is>
          <t>PMS5003 particulate ($15)</t>
        </is>
      </c>
      <c r="E37" s="12" t="inlineStr">
        <is>
          <t>PMS5003 particulate — Standoff</t>
        </is>
      </c>
      <c r="F37" s="12" t="inlineStr">
        <is>
          <t>PMS5003 particulate (100mA fan on)</t>
        </is>
      </c>
      <c r="G37" s="12" t="inlineStr">
        <is>
          <t>PMS5003 particulate</t>
        </is>
      </c>
    </row>
    <row r="38" ht="30" customHeight="1">
      <c r="A38" s="72" t="inlineStr">
        <is>
          <t>particulate-count</t>
        </is>
      </c>
      <c r="B38" s="12" t="inlineStr">
        <is>
          <t>Number of particles by size bin</t>
        </is>
      </c>
      <c r="C38" s="29" t="n">
        <v>1</v>
      </c>
      <c r="D38" s="12" t="inlineStr">
        <is>
          <t>PMS5003 particulate ($15)</t>
        </is>
      </c>
      <c r="E38" s="12" t="inlineStr">
        <is>
          <t>PMS5003 particulate — Standoff</t>
        </is>
      </c>
      <c r="F38" s="12" t="inlineStr">
        <is>
          <t>PMS5003 particulate (100mA fan on)</t>
        </is>
      </c>
      <c r="G38" s="12" t="inlineStr">
        <is>
          <t>PMS5003 particulate</t>
        </is>
      </c>
    </row>
    <row r="39" ht="30" customHeight="1">
      <c r="A39" s="72" t="inlineStr">
        <is>
          <t>dielectric-constant</t>
        </is>
      </c>
      <c r="B39" s="12" t="inlineStr">
        <is>
          <t>Permittivity — reveals material and moisture</t>
        </is>
      </c>
      <c r="C39" s="29" t="n">
        <v>1</v>
      </c>
      <c r="D39" s="12" t="inlineStr">
        <is>
          <t>Capacitive soil moisture v2 ($2)</t>
        </is>
      </c>
      <c r="E39" s="12" t="inlineStr">
        <is>
          <t>—</t>
        </is>
      </c>
      <c r="F39" s="12" t="inlineStr">
        <is>
          <t>Capacitive soil moisture v2 (5mA)</t>
        </is>
      </c>
      <c r="G39" s="12" t="inlineStr">
        <is>
          <t>Capacitive soil moisture v2</t>
        </is>
      </c>
    </row>
    <row r="40" ht="30" customHeight="1">
      <c r="A40" s="72" t="inlineStr">
        <is>
          <t>ppg-optical</t>
        </is>
      </c>
      <c r="B40" s="12" t="inlineStr">
        <is>
          <t>Blood volume pulse via light absorption</t>
        </is>
      </c>
      <c r="C40" s="29" t="n">
        <v>1</v>
      </c>
      <c r="D40" s="12" t="inlineStr">
        <is>
          <t>MAX30102 pulse oximeter ($6)</t>
        </is>
      </c>
      <c r="E40" s="12" t="inlineStr">
        <is>
          <t>—</t>
        </is>
      </c>
      <c r="F40" s="12" t="inlineStr">
        <is>
          <t>MAX30102 pulse oximeter (&lt;1mA typical duty)</t>
        </is>
      </c>
      <c r="G40" s="12" t="inlineStr">
        <is>
          <t>MAX30102 pulse oximeter</t>
        </is>
      </c>
    </row>
    <row r="41" ht="30" customHeight="1">
      <c r="A41" s="72" t="inlineStr">
        <is>
          <t>respiration</t>
        </is>
      </c>
      <c r="B41" s="12" t="inlineStr">
        <is>
          <t>Breathing movement or airflow</t>
        </is>
      </c>
      <c r="C41" s="29" t="n">
        <v>1</v>
      </c>
      <c r="D41" s="12" t="inlineStr">
        <is>
          <t>LD2410 mmWave presence ($5)</t>
        </is>
      </c>
      <c r="E41" s="12" t="inlineStr">
        <is>
          <t>LD2410 mmWave presence — Through-barrier</t>
        </is>
      </c>
      <c r="F41" s="12" t="inlineStr">
        <is>
          <t>LD2410 mmWave presence (80mA)</t>
        </is>
      </c>
      <c r="G41" s="12" t="inlineStr">
        <is>
          <t>LD2410 mmWave presence</t>
        </is>
      </c>
    </row>
    <row r="42" ht="30" customHeight="1">
      <c r="A42" s="72" t="inlineStr">
        <is>
          <t>occupancy-signal</t>
        </is>
      </c>
      <c r="B42" s="12" t="inlineStr">
        <is>
          <t>A processed presence/target output from a smart module</t>
        </is>
      </c>
      <c r="C42" s="29" t="n">
        <v>2</v>
      </c>
      <c r="D42" s="12" t="inlineStr">
        <is>
          <t>HC-SR501 PIR motion ($1.5)</t>
        </is>
      </c>
      <c r="E42" s="12" t="inlineStr">
        <is>
          <t>HC-SR501 PIR motion — Standoff</t>
        </is>
      </c>
      <c r="F42" s="12" t="inlineStr">
        <is>
          <t>HC-SR501 PIR motion (50µA idle)</t>
        </is>
      </c>
      <c r="G42" s="12" t="inlineStr">
        <is>
          <t>HC-SR501 PIR motion · LD2410 mmWave presence</t>
        </is>
      </c>
    </row>
  </sheetData>
  <mergeCells count="2">
    <mergeCell ref="A3:G3"/>
    <mergeCell ref="A2:G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8A6FA8"/>
    <outlinePr summaryBelow="1" summaryRight="1"/>
    <pageSetUpPr/>
  </sheetPr>
  <dimension ref="A1:V117"/>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17" customWidth="1" min="1" max="1"/>
    <col width="34" customWidth="1" min="2" max="2"/>
    <col width="6" customWidth="1" min="3" max="3"/>
    <col width="22" customWidth="1" min="4" max="4"/>
    <col width="22" customWidth="1" min="5" max="5"/>
    <col width="22" customWidth="1" min="6" max="6"/>
    <col width="22" customWidth="1" min="7" max="7"/>
    <col width="22" customWidth="1" min="8" max="8"/>
    <col width="22" customWidth="1" min="9" max="9"/>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1"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INFERENCE ATLAS — “I want to know Y”</t>
        </is>
      </c>
      <c r="B2" s="4" t="n"/>
      <c r="C2" s="4" t="n"/>
      <c r="D2" s="4" t="n"/>
      <c r="E2" s="4" t="n"/>
      <c r="F2" s="4" t="n"/>
      <c r="G2" s="4" t="n"/>
      <c r="H2" s="4" t="n"/>
      <c r="I2" s="4" t="n"/>
    </row>
    <row r="3" ht="26" customHeight="1">
      <c r="A3" s="5" t="inlineStr">
        <is>
          <t>A sensor never measures what you want to know; it measures a proxy. This sheet starts from the KNOWING and works back to the parts. Each row offers several routes to the same answer — they differ in cost, privacy, power and what fools them. Choosing the route is the design act.</t>
        </is>
      </c>
    </row>
    <row r="4">
      <c r="A4" s="24" t="inlineStr">
        <is>
          <t>Domain</t>
        </is>
      </c>
      <c r="B4" s="24" t="inlineStr">
        <is>
          <t>You want to know…</t>
        </is>
      </c>
      <c r="C4" s="24" t="inlineStr">
        <is>
          <t>#</t>
        </is>
      </c>
      <c r="D4" s="24" t="inlineStr">
        <is>
          <t>💵 Cheapest</t>
        </is>
      </c>
      <c r="E4" s="24" t="inlineStr">
        <is>
          <t>🎯 Most capable</t>
        </is>
      </c>
      <c r="F4" s="24" t="inlineStr">
        <is>
          <t>🚫 No contact</t>
        </is>
      </c>
      <c r="G4" s="24" t="inlineStr">
        <is>
          <t>🔒 Privacy-safe</t>
        </is>
      </c>
      <c r="H4" s="24" t="inlineStr">
        <is>
          <t>🔋 Lowest power</t>
        </is>
      </c>
      <c r="I4" s="24" t="inlineStr">
        <is>
          <t>🧑‍🔧 Easiest</t>
        </is>
      </c>
    </row>
    <row r="5" ht="32" customHeight="1">
      <c r="A5" s="73" t="inlineStr">
        <is>
          <t>Human presence</t>
        </is>
      </c>
      <c r="B5" s="74" t="inlineStr">
        <is>
          <t>Is anyone here?</t>
        </is>
      </c>
      <c r="C5" s="29" t="n">
        <v>9</v>
      </c>
      <c r="D5" s="12" t="inlineStr">
        <is>
          <t>ESP32 native touch pins
$0</t>
        </is>
      </c>
      <c r="E5" s="12" t="inlineStr">
        <is>
          <t>Grid-EYE AMG8833 thermal array
$35</t>
        </is>
      </c>
      <c r="F5" s="12" t="inlineStr">
        <is>
          <t>HC-SR04 ultrasonic
$1.5</t>
        </is>
      </c>
      <c r="G5" s="12" t="inlineStr">
        <is>
          <t>HC-SR04 ultrasonic
$1.5</t>
        </is>
      </c>
      <c r="H5" s="12" t="inlineStr">
        <is>
          <t>ESP32 native touch pins
$0</t>
        </is>
      </c>
      <c r="I5" s="12" t="inlineStr">
        <is>
          <t>ESP32 native touch pins
$0</t>
        </is>
      </c>
    </row>
    <row r="6" ht="32" customHeight="1">
      <c r="A6" s="73" t="inlineStr">
        <is>
          <t>Human presence</t>
        </is>
      </c>
      <c r="B6" s="74" t="inlineStr">
        <is>
          <t>Is someone still here, sitting perfectly still?</t>
        </is>
      </c>
      <c r="C6" s="29" t="n">
        <v>1</v>
      </c>
      <c r="D6" s="12" t="inlineStr">
        <is>
          <t>LD2410 mmWave presence
$5</t>
        </is>
      </c>
      <c r="E6" s="12" t="inlineStr">
        <is>
          <t>LD2410 mmWave presence
$5</t>
        </is>
      </c>
      <c r="F6" s="12" t="inlineStr">
        <is>
          <t>LD2410 mmWave presence
$5</t>
        </is>
      </c>
      <c r="G6" s="12" t="inlineStr">
        <is>
          <t>LD2410 mmWave presence
$5</t>
        </is>
      </c>
      <c r="H6" s="12" t="inlineStr">
        <is>
          <t>LD2410 mmWave presence
$5</t>
        </is>
      </c>
      <c r="I6" s="12" t="inlineStr">
        <is>
          <t>LD2410 mmWave presence
$5</t>
        </is>
      </c>
    </row>
    <row r="7" ht="32" customHeight="1">
      <c r="A7" s="73" t="inlineStr">
        <is>
          <t>Human presence</t>
        </is>
      </c>
      <c r="B7" s="74" t="inlineStr">
        <is>
          <t>How many people are in this space?</t>
        </is>
      </c>
      <c r="C7" s="29" t="n">
        <v>2</v>
      </c>
      <c r="D7" s="12" t="inlineStr">
        <is>
          <t>SCD41 true CO2
$25</t>
        </is>
      </c>
      <c r="E7" s="12" t="inlineStr">
        <is>
          <t>Grid-EYE AMG8833 thermal array
$35</t>
        </is>
      </c>
      <c r="F7" s="12" t="inlineStr">
        <is>
          <t>SCD41 true CO2
$25</t>
        </is>
      </c>
      <c r="G7" s="12" t="inlineStr">
        <is>
          <t>SCD41 true CO2
$25</t>
        </is>
      </c>
      <c r="H7" s="12" t="inlineStr">
        <is>
          <t>SCD41 true CO2
$25</t>
        </is>
      </c>
      <c r="I7" s="12" t="inlineStr">
        <is>
          <t>SCD41 true CO2
$25</t>
        </is>
      </c>
    </row>
    <row r="8" ht="32" customHeight="1">
      <c r="A8" s="73" t="inlineStr">
        <is>
          <t>Human presence</t>
        </is>
      </c>
      <c r="B8" s="74" t="inlineStr">
        <is>
          <t>Whereabouts in the room are they?</t>
        </is>
      </c>
      <c r="C8" s="29" t="n">
        <v>2</v>
      </c>
      <c r="D8" s="12" t="inlineStr">
        <is>
          <t>LD2410 mmWave presence
$5</t>
        </is>
      </c>
      <c r="E8" s="12" t="inlineStr">
        <is>
          <t>Grid-EYE AMG8833 thermal array
$35</t>
        </is>
      </c>
      <c r="F8" s="12" t="inlineStr">
        <is>
          <t>LD2410 mmWave presence
$5</t>
        </is>
      </c>
      <c r="G8" s="12" t="inlineStr">
        <is>
          <t>LD2410 mmWave presence
$5</t>
        </is>
      </c>
      <c r="H8" s="12" t="inlineStr">
        <is>
          <t>Grid-EYE AMG8833 thermal array
$35</t>
        </is>
      </c>
      <c r="I8" s="12" t="inlineStr">
        <is>
          <t>LD2410 mmWave presence
$5</t>
        </is>
      </c>
    </row>
    <row r="9" ht="32" customHeight="1">
      <c r="A9" s="73" t="inlineStr">
        <is>
          <t>Human presence</t>
        </is>
      </c>
      <c r="B9" s="74" t="inlineStr">
        <is>
          <t>Did they come in, or go out?</t>
        </is>
      </c>
      <c r="C9" s="29" t="n">
        <v>1</v>
      </c>
      <c r="D9" s="12" t="inlineStr">
        <is>
          <t>HC-SR501 PIR motion
$1.5</t>
        </is>
      </c>
      <c r="E9" s="12" t="inlineStr">
        <is>
          <t>HC-SR501 PIR motion
$1.5</t>
        </is>
      </c>
      <c r="F9" s="12" t="inlineStr">
        <is>
          <t>HC-SR501 PIR motion
$1.5</t>
        </is>
      </c>
      <c r="G9" s="12" t="inlineStr">
        <is>
          <t>HC-SR501 PIR motion
$1.5</t>
        </is>
      </c>
      <c r="H9" s="12" t="inlineStr">
        <is>
          <t>HC-SR501 PIR motion
$1.5</t>
        </is>
      </c>
      <c r="I9" s="12" t="inlineStr">
        <is>
          <t>HC-SR501 PIR motion
$1.5</t>
        </is>
      </c>
    </row>
    <row r="10" ht="32" customHeight="1">
      <c r="A10" s="73" t="inlineStr">
        <is>
          <t>Human presence</t>
        </is>
      </c>
      <c r="B10" s="74" t="inlineStr">
        <is>
          <t>Did someone fall?</t>
        </is>
      </c>
      <c r="C10" s="29" t="n">
        <v>1</v>
      </c>
      <c r="D10" s="12" t="inlineStr">
        <is>
          <t>Grid-EYE AMG8833 thermal array
$35</t>
        </is>
      </c>
      <c r="E10" s="12" t="inlineStr">
        <is>
          <t>Grid-EYE AMG8833 thermal array
$35</t>
        </is>
      </c>
      <c r="F10" s="12" t="inlineStr">
        <is>
          <t>Grid-EYE AMG8833 thermal array
$35</t>
        </is>
      </c>
      <c r="G10" s="12" t="inlineStr">
        <is>
          <t>Grid-EYE AMG8833 thermal array
$35</t>
        </is>
      </c>
      <c r="H10" s="12" t="inlineStr">
        <is>
          <t>Grid-EYE AMG8833 thermal array
$35</t>
        </is>
      </c>
      <c r="I10" s="12" t="inlineStr">
        <is>
          <t>Grid-EYE AMG8833 thermal array
$35</t>
        </is>
      </c>
    </row>
    <row r="11" ht="32" customHeight="1">
      <c r="A11" s="73" t="inlineStr">
        <is>
          <t>Human presence</t>
        </is>
      </c>
      <c r="B11" s="74" t="inlineStr">
        <is>
          <t>Are they asleep, and how well?</t>
        </is>
      </c>
      <c r="C11" s="29" t="n">
        <v>1</v>
      </c>
      <c r="D11" s="12" t="inlineStr">
        <is>
          <t>LD2410 mmWave presence
$5</t>
        </is>
      </c>
      <c r="E11" s="12" t="inlineStr">
        <is>
          <t>LD2410 mmWave presence
$5</t>
        </is>
      </c>
      <c r="F11" s="12" t="inlineStr">
        <is>
          <t>LD2410 mmWave presence
$5</t>
        </is>
      </c>
      <c r="G11" s="12" t="inlineStr">
        <is>
          <t>LD2410 mmWave presence
$5</t>
        </is>
      </c>
      <c r="H11" s="12" t="inlineStr">
        <is>
          <t>LD2410 mmWave presence
$5</t>
        </is>
      </c>
      <c r="I11" s="12" t="inlineStr">
        <is>
          <t>LD2410 mmWave presence
$5</t>
        </is>
      </c>
    </row>
    <row r="12" ht="32" customHeight="1">
      <c r="A12" s="73" t="inlineStr">
        <is>
          <t>Human presence</t>
        </is>
      </c>
      <c r="B12" s="74" t="inlineStr">
        <is>
          <t>Has nobody moved for worryingly long?</t>
        </is>
      </c>
      <c r="C12" s="29" t="n">
        <v>1</v>
      </c>
      <c r="D12" s="12" t="inlineStr">
        <is>
          <t>LD2410 mmWave presence
$5</t>
        </is>
      </c>
      <c r="E12" s="12" t="inlineStr">
        <is>
          <t>LD2410 mmWave presence
$5</t>
        </is>
      </c>
      <c r="F12" s="12" t="inlineStr">
        <is>
          <t>LD2410 mmWave presence
$5</t>
        </is>
      </c>
      <c r="G12" s="12" t="inlineStr">
        <is>
          <t>LD2410 mmWave presence
$5</t>
        </is>
      </c>
      <c r="H12" s="12" t="inlineStr">
        <is>
          <t>LD2410 mmWave presence
$5</t>
        </is>
      </c>
      <c r="I12" s="12" t="inlineStr">
        <is>
          <t>LD2410 mmWave presence
$5</t>
        </is>
      </c>
    </row>
    <row r="13" ht="32" customHeight="1">
      <c r="A13" s="73" t="inlineStr">
        <is>
          <t>Human presence</t>
        </is>
      </c>
      <c r="B13" s="74" t="inlineStr">
        <is>
          <t>How long has this desk/room/seat been in use?</t>
        </is>
      </c>
      <c r="C13" s="29" t="n">
        <v>1</v>
      </c>
      <c r="D13" s="12" t="inlineStr">
        <is>
          <t>LD2410 mmWave presence
$5</t>
        </is>
      </c>
      <c r="E13" s="12" t="inlineStr">
        <is>
          <t>LD2410 mmWave presence
$5</t>
        </is>
      </c>
      <c r="F13" s="12" t="inlineStr">
        <is>
          <t>LD2410 mmWave presence
$5</t>
        </is>
      </c>
      <c r="G13" s="12" t="inlineStr">
        <is>
          <t>LD2410 mmWave presence
$5</t>
        </is>
      </c>
      <c r="H13" s="12" t="inlineStr">
        <is>
          <t>LD2410 mmWave presence
$5</t>
        </is>
      </c>
      <c r="I13" s="12" t="inlineStr">
        <is>
          <t>LD2410 mmWave presence
$5</t>
        </is>
      </c>
    </row>
    <row r="14" ht="32" customHeight="1">
      <c r="A14" s="73" t="inlineStr">
        <is>
          <t>Human presence</t>
        </is>
      </c>
      <c r="B14" s="74" t="inlineStr">
        <is>
          <t>Did something cross this line?</t>
        </is>
      </c>
      <c r="C14" s="29" t="n">
        <v>4</v>
      </c>
      <c r="D14" s="12" t="inlineStr">
        <is>
          <t>Photoresistor (LDR)
$0.2</t>
        </is>
      </c>
      <c r="E14" s="12" t="inlineStr">
        <is>
          <t>Piezo contact mic / disc
$0.5</t>
        </is>
      </c>
      <c r="F14" s="12" t="inlineStr">
        <is>
          <t>Photoresistor (LDR)
$0.2</t>
        </is>
      </c>
      <c r="G14" s="12" t="inlineStr">
        <is>
          <t>Photoresistor (LDR)
$0.2</t>
        </is>
      </c>
      <c r="H14" s="12" t="inlineStr">
        <is>
          <t>Piezo contact mic / disc
$0.5</t>
        </is>
      </c>
      <c r="I14" s="12" t="inlineStr">
        <is>
          <t>Photoresistor (LDR)
$0.2</t>
        </is>
      </c>
    </row>
    <row r="15" ht="32" customHeight="1">
      <c r="A15" s="73" t="inlineStr">
        <is>
          <t>Body &amp; health</t>
        </is>
      </c>
      <c r="B15" s="74" t="inlineStr">
        <is>
          <t>What is the heart rate?</t>
        </is>
      </c>
      <c r="C15" s="29" t="n">
        <v>1</v>
      </c>
      <c r="D15" s="12" t="inlineStr">
        <is>
          <t>MAX30102 pulse oximeter
$6</t>
        </is>
      </c>
      <c r="E15" s="12" t="inlineStr">
        <is>
          <t>MAX30102 pulse oximeter
$6</t>
        </is>
      </c>
      <c r="F15" s="12" t="inlineStr">
        <is>
          <t>—</t>
        </is>
      </c>
      <c r="G15" s="12" t="inlineStr">
        <is>
          <t>—</t>
        </is>
      </c>
      <c r="H15" s="12" t="inlineStr">
        <is>
          <t>MAX30102 pulse oximeter
$6</t>
        </is>
      </c>
      <c r="I15" s="12" t="inlineStr">
        <is>
          <t>MAX30102 pulse oximeter
$6</t>
        </is>
      </c>
    </row>
    <row r="16" ht="32" customHeight="1">
      <c r="A16" s="73" t="inlineStr">
        <is>
          <t>Body &amp; health</t>
        </is>
      </c>
      <c r="B16" s="74" t="inlineStr">
        <is>
          <t>How stressed or recovered is this body?</t>
        </is>
      </c>
      <c r="C16" s="29" t="n">
        <v>1</v>
      </c>
      <c r="D16" s="12" t="inlineStr">
        <is>
          <t>MAX30102 pulse oximeter
$6</t>
        </is>
      </c>
      <c r="E16" s="12" t="inlineStr">
        <is>
          <t>MAX30102 pulse oximeter
$6</t>
        </is>
      </c>
      <c r="F16" s="12" t="inlineStr">
        <is>
          <t>—</t>
        </is>
      </c>
      <c r="G16" s="12" t="inlineStr">
        <is>
          <t>—</t>
        </is>
      </c>
      <c r="H16" s="12" t="inlineStr">
        <is>
          <t>MAX30102 pulse oximeter
$6</t>
        </is>
      </c>
      <c r="I16" s="12" t="inlineStr">
        <is>
          <t>MAX30102 pulse oximeter
$6</t>
        </is>
      </c>
    </row>
    <row r="17" ht="32" customHeight="1">
      <c r="A17" s="73" t="inlineStr">
        <is>
          <t>Body &amp; health</t>
        </is>
      </c>
      <c r="B17" s="74" t="inlineStr">
        <is>
          <t>What is the blood oxygen saturation?</t>
        </is>
      </c>
      <c r="C17" s="29" t="n">
        <v>1</v>
      </c>
      <c r="D17" s="12" t="inlineStr">
        <is>
          <t>MAX30102 pulse oximeter
$6</t>
        </is>
      </c>
      <c r="E17" s="12" t="inlineStr">
        <is>
          <t>MAX30102 pulse oximeter
$6</t>
        </is>
      </c>
      <c r="F17" s="12" t="inlineStr">
        <is>
          <t>—</t>
        </is>
      </c>
      <c r="G17" s="12" t="inlineStr">
        <is>
          <t>—</t>
        </is>
      </c>
      <c r="H17" s="12" t="inlineStr">
        <is>
          <t>MAX30102 pulse oximeter
$6</t>
        </is>
      </c>
      <c r="I17" s="12" t="inlineStr">
        <is>
          <t>MAX30102 pulse oximeter
$6</t>
        </is>
      </c>
    </row>
    <row r="18" ht="32" customHeight="1">
      <c r="A18" s="73" t="inlineStr">
        <is>
          <t>Body &amp; health</t>
        </is>
      </c>
      <c r="B18" s="74" t="inlineStr">
        <is>
          <t>How fast are they breathing?</t>
        </is>
      </c>
      <c r="C18" s="29" t="n">
        <v>1</v>
      </c>
      <c r="D18" s="12" t="inlineStr">
        <is>
          <t>INMP441 I2S MEMS mic
$3</t>
        </is>
      </c>
      <c r="E18" s="12" t="inlineStr">
        <is>
          <t>INMP441 I2S MEMS mic
$3</t>
        </is>
      </c>
      <c r="F18" s="12" t="inlineStr">
        <is>
          <t>INMP441 I2S MEMS mic
$3</t>
        </is>
      </c>
      <c r="G18" s="12" t="inlineStr">
        <is>
          <t>—</t>
        </is>
      </c>
      <c r="H18" s="12" t="inlineStr">
        <is>
          <t>INMP441 I2S MEMS mic
$3</t>
        </is>
      </c>
      <c r="I18" s="12" t="inlineStr">
        <is>
          <t>INMP441 I2S MEMS mic
$3</t>
        </is>
      </c>
    </row>
    <row r="19" ht="32" customHeight="1">
      <c r="A19" s="73" t="inlineStr">
        <is>
          <t>Body &amp; health</t>
        </is>
      </c>
      <c r="B19" s="74" t="inlineStr">
        <is>
          <t>Is body temperature drifting — fever, ovulation, heat stress?</t>
        </is>
      </c>
      <c r="C19" s="29" t="n">
        <v>1</v>
      </c>
      <c r="D19" s="12" t="inlineStr">
        <is>
          <t>TMP117 ultra-precise temp
$11</t>
        </is>
      </c>
      <c r="E19" s="12" t="inlineStr">
        <is>
          <t>TMP117 ultra-precise temp
$11</t>
        </is>
      </c>
      <c r="F19" s="12" t="inlineStr">
        <is>
          <t>—</t>
        </is>
      </c>
      <c r="G19" s="12" t="inlineStr">
        <is>
          <t>TMP117 ultra-precise temp
$11</t>
        </is>
      </c>
      <c r="H19" s="12" t="inlineStr">
        <is>
          <t>TMP117 ultra-precise temp
$11</t>
        </is>
      </c>
      <c r="I19" s="12" t="inlineStr">
        <is>
          <t>TMP117 ultra-precise temp
$11</t>
        </is>
      </c>
    </row>
    <row r="20" ht="32" customHeight="1">
      <c r="A20" s="73" t="inlineStr">
        <is>
          <t>Body &amp; health</t>
        </is>
      </c>
      <c r="B20" s="74" t="inlineStr">
        <is>
          <t>What posture is this body in?</t>
        </is>
      </c>
      <c r="C20" s="29" t="n">
        <v>2</v>
      </c>
      <c r="D20" s="12" t="inlineStr">
        <is>
          <t>MPU-6050 6-axis IMU
$2</t>
        </is>
      </c>
      <c r="E20" s="12" t="inlineStr">
        <is>
          <t>HX711 + load cell
$5</t>
        </is>
      </c>
      <c r="F20" s="12" t="inlineStr">
        <is>
          <t>—</t>
        </is>
      </c>
      <c r="G20" s="12" t="inlineStr">
        <is>
          <t>MPU-6050 6-axis IMU
$2</t>
        </is>
      </c>
      <c r="H20" s="12" t="inlineStr">
        <is>
          <t>HX711 + load cell
$5</t>
        </is>
      </c>
      <c r="I20" s="12" t="inlineStr">
        <is>
          <t>MPU-6050 6-axis IMU
$2</t>
        </is>
      </c>
    </row>
    <row r="21" ht="32" customHeight="1">
      <c r="A21" s="73" t="inlineStr">
        <is>
          <t>Body &amp; health</t>
        </is>
      </c>
      <c r="B21" s="74" t="inlineStr">
        <is>
          <t>Is this person's arousal or stress rising?</t>
        </is>
      </c>
      <c r="C21" s="29" t="n">
        <v>1</v>
      </c>
      <c r="D21" s="12" t="inlineStr">
        <is>
          <t>MAX30102 pulse oximeter
$6</t>
        </is>
      </c>
      <c r="E21" s="12" t="inlineStr">
        <is>
          <t>MAX30102 pulse oximeter
$6</t>
        </is>
      </c>
      <c r="F21" s="12" t="inlineStr">
        <is>
          <t>—</t>
        </is>
      </c>
      <c r="G21" s="12" t="inlineStr">
        <is>
          <t>—</t>
        </is>
      </c>
      <c r="H21" s="12" t="inlineStr">
        <is>
          <t>MAX30102 pulse oximeter
$6</t>
        </is>
      </c>
      <c r="I21" s="12" t="inlineStr">
        <is>
          <t>MAX30102 pulse oximeter
$6</t>
        </is>
      </c>
    </row>
    <row r="22" ht="32" customHeight="1">
      <c r="A22" s="73" t="inlineStr">
        <is>
          <t>Body &amp; health</t>
        </is>
      </c>
      <c r="B22" s="74" t="inlineStr">
        <is>
          <t>How much have they moved today?</t>
        </is>
      </c>
      <c r="C22" s="29" t="n">
        <v>1</v>
      </c>
      <c r="D22" s="12" t="inlineStr">
        <is>
          <t>MPU-6050 6-axis IMU
$2</t>
        </is>
      </c>
      <c r="E22" s="12" t="inlineStr">
        <is>
          <t>MPU-6050 6-axis IMU
$2</t>
        </is>
      </c>
      <c r="F22" s="12" t="inlineStr">
        <is>
          <t>—</t>
        </is>
      </c>
      <c r="G22" s="12" t="inlineStr">
        <is>
          <t>MPU-6050 6-axis IMU
$2</t>
        </is>
      </c>
      <c r="H22" s="12" t="inlineStr">
        <is>
          <t>MPU-6050 6-axis IMU
$2</t>
        </is>
      </c>
      <c r="I22" s="12" t="inlineStr">
        <is>
          <t>MPU-6050 6-axis IMU
$2</t>
        </is>
      </c>
    </row>
    <row r="23" ht="32" customHeight="1">
      <c r="A23" s="73" t="inlineStr">
        <is>
          <t>Objects &amp; assets</t>
        </is>
      </c>
      <c r="B23" s="74" t="inlineStr">
        <is>
          <t>Is the thing there?</t>
        </is>
      </c>
      <c r="C23" s="29" t="n">
        <v>7</v>
      </c>
      <c r="D23" s="12" t="inlineStr">
        <is>
          <t>ESP32 native touch pins
$0</t>
        </is>
      </c>
      <c r="E23" s="12" t="inlineStr">
        <is>
          <t>HX711 + load cell
$5</t>
        </is>
      </c>
      <c r="F23" s="12" t="inlineStr">
        <is>
          <t>Photoresistor (LDR)
$0.2</t>
        </is>
      </c>
      <c r="G23" s="12" t="inlineStr">
        <is>
          <t>Photoresistor (LDR)
$0.2</t>
        </is>
      </c>
      <c r="H23" s="12" t="inlineStr">
        <is>
          <t>Reed switch
$0.5</t>
        </is>
      </c>
      <c r="I23" s="12" t="inlineStr">
        <is>
          <t>ESP32 native touch pins
$0</t>
        </is>
      </c>
    </row>
    <row r="24" ht="32" customHeight="1">
      <c r="A24" s="73" t="inlineStr">
        <is>
          <t>Objects &amp; assets</t>
        </is>
      </c>
      <c r="B24" s="74" t="inlineStr">
        <is>
          <t>Has it been moved or disturbed?</t>
        </is>
      </c>
      <c r="C24" s="29" t="n">
        <v>2</v>
      </c>
      <c r="D24" s="12" t="inlineStr">
        <is>
          <t>MPU-6050 6-axis IMU
$2</t>
        </is>
      </c>
      <c r="E24" s="12" t="inlineStr">
        <is>
          <t>MPU-6050 6-axis IMU
$2</t>
        </is>
      </c>
      <c r="F24" s="12" t="inlineStr">
        <is>
          <t>—</t>
        </is>
      </c>
      <c r="G24" s="12" t="inlineStr">
        <is>
          <t>MPU-6050 6-axis IMU
$2</t>
        </is>
      </c>
      <c r="H24" s="12" t="inlineStr">
        <is>
          <t>ADXL345 accelerometer
$3</t>
        </is>
      </c>
      <c r="I24" s="12" t="inlineStr">
        <is>
          <t>ADXL345 accelerometer
$3</t>
        </is>
      </c>
    </row>
    <row r="25" ht="32" customHeight="1">
      <c r="A25" s="73" t="inlineStr">
        <is>
          <t>Objects &amp; assets</t>
        </is>
      </c>
      <c r="B25" s="74" t="inlineStr">
        <is>
          <t>Was it dropped, and how hard?</t>
        </is>
      </c>
      <c r="C25" s="29" t="n">
        <v>3</v>
      </c>
      <c r="D25" s="12" t="inlineStr">
        <is>
          <t>Piezo contact mic / disc
$0.5</t>
        </is>
      </c>
      <c r="E25" s="12" t="inlineStr">
        <is>
          <t>MPU-6050 6-axis IMU
$2</t>
        </is>
      </c>
      <c r="F25" s="12" t="inlineStr">
        <is>
          <t>—</t>
        </is>
      </c>
      <c r="G25" s="12" t="inlineStr">
        <is>
          <t>Piezo contact mic / disc
$0.5</t>
        </is>
      </c>
      <c r="H25" s="12" t="inlineStr">
        <is>
          <t>Piezo contact mic / disc
$0.5</t>
        </is>
      </c>
      <c r="I25" s="12" t="inlineStr">
        <is>
          <t>ADXL345 accelerometer
$3</t>
        </is>
      </c>
    </row>
    <row r="26" ht="32" customHeight="1">
      <c r="A26" s="73" t="inlineStr">
        <is>
          <t>Objects &amp; assets</t>
        </is>
      </c>
      <c r="B26" s="74" t="inlineStr">
        <is>
          <t>How many went past?</t>
        </is>
      </c>
      <c r="C26" s="29" t="n">
        <v>2</v>
      </c>
      <c r="D26" s="12" t="inlineStr">
        <is>
          <t>Reed switch
$0.5</t>
        </is>
      </c>
      <c r="E26" s="12" t="inlineStr">
        <is>
          <t>HX711 + load cell
$5</t>
        </is>
      </c>
      <c r="F26" s="12" t="inlineStr">
        <is>
          <t>Reed switch
$0.5</t>
        </is>
      </c>
      <c r="G26" s="12" t="inlineStr">
        <is>
          <t>Reed switch
$0.5</t>
        </is>
      </c>
      <c r="H26" s="12" t="inlineStr">
        <is>
          <t>Reed switch
$0.5</t>
        </is>
      </c>
      <c r="I26" s="12" t="inlineStr">
        <is>
          <t>Reed switch
$0.5</t>
        </is>
      </c>
    </row>
    <row r="27" ht="32" customHeight="1">
      <c r="A27" s="73" t="inlineStr">
        <is>
          <t>Objects &amp; assets</t>
        </is>
      </c>
      <c r="B27" s="74" t="inlineStr">
        <is>
          <t>How full is it?</t>
        </is>
      </c>
      <c r="C27" s="29" t="n">
        <v>3</v>
      </c>
      <c r="D27" s="12" t="inlineStr">
        <is>
          <t>HC-SR04 ultrasonic
$1.5</t>
        </is>
      </c>
      <c r="E27" s="12" t="inlineStr">
        <is>
          <t>HX711 + load cell
$5</t>
        </is>
      </c>
      <c r="F27" s="12" t="inlineStr">
        <is>
          <t>HC-SR04 ultrasonic
$1.5</t>
        </is>
      </c>
      <c r="G27" s="12" t="inlineStr">
        <is>
          <t>HC-SR04 ultrasonic
$1.5</t>
        </is>
      </c>
      <c r="H27" s="12" t="inlineStr">
        <is>
          <t>HX711 + load cell
$5</t>
        </is>
      </c>
      <c r="I27" s="12" t="inlineStr">
        <is>
          <t>HC-SR04 ultrasonic
$1.5</t>
        </is>
      </c>
    </row>
    <row r="28" ht="32" customHeight="1">
      <c r="A28" s="73" t="inlineStr">
        <is>
          <t>Objects &amp; assets</t>
        </is>
      </c>
      <c r="B28" s="74" t="inlineStr">
        <is>
          <t>How much is left, and how long until it runs out?</t>
        </is>
      </c>
      <c r="C28" s="29" t="n">
        <v>2</v>
      </c>
      <c r="D28" s="12" t="inlineStr">
        <is>
          <t>VL53L0X ToF laser
$5</t>
        </is>
      </c>
      <c r="E28" s="12" t="inlineStr">
        <is>
          <t>HX711 + load cell
$5</t>
        </is>
      </c>
      <c r="F28" s="12" t="inlineStr">
        <is>
          <t>VL53L0X ToF laser
$5</t>
        </is>
      </c>
      <c r="G28" s="12" t="inlineStr">
        <is>
          <t>VL53L0X ToF laser
$5</t>
        </is>
      </c>
      <c r="H28" s="12" t="inlineStr">
        <is>
          <t>HX711 + load cell
$5</t>
        </is>
      </c>
      <c r="I28" s="12" t="inlineStr">
        <is>
          <t>VL53L0X ToF laser
$5</t>
        </is>
      </c>
    </row>
    <row r="29" ht="32" customHeight="1">
      <c r="A29" s="73" t="inlineStr">
        <is>
          <t>Objects &amp; assets</t>
        </is>
      </c>
      <c r="B29" s="74" t="inlineStr">
        <is>
          <t>Is it open or closed?</t>
        </is>
      </c>
      <c r="C29" s="29" t="n">
        <v>3</v>
      </c>
      <c r="D29" s="12" t="inlineStr">
        <is>
          <t>Reed switch
$0.5</t>
        </is>
      </c>
      <c r="E29" s="12" t="inlineStr">
        <is>
          <t>BMP390 precision barometer
$10</t>
        </is>
      </c>
      <c r="F29" s="12" t="inlineStr">
        <is>
          <t>Reed switch
$0.5</t>
        </is>
      </c>
      <c r="G29" s="12" t="inlineStr">
        <is>
          <t>Reed switch
$0.5</t>
        </is>
      </c>
      <c r="H29" s="12" t="inlineStr">
        <is>
          <t>Reed switch
$0.5</t>
        </is>
      </c>
      <c r="I29" s="12" t="inlineStr">
        <is>
          <t>Reed switch
$0.5</t>
        </is>
      </c>
    </row>
    <row r="30" ht="32" customHeight="1">
      <c r="A30" s="73" t="inlineStr">
        <is>
          <t>Objects &amp; assets</t>
        </is>
      </c>
      <c r="B30" s="74" t="inlineStr">
        <is>
          <t>How hot is that surface?</t>
        </is>
      </c>
      <c r="C30" s="29" t="n">
        <v>7</v>
      </c>
      <c r="D30" s="12" t="inlineStr">
        <is>
          <t>NTC thermistor 10k
$0.3</t>
        </is>
      </c>
      <c r="E30" s="12" t="inlineStr">
        <is>
          <t>Grid-EYE AMG8833 thermal array
$35</t>
        </is>
      </c>
      <c r="F30" s="12" t="inlineStr">
        <is>
          <t>MLX90614 IR thermometer
$8</t>
        </is>
      </c>
      <c r="G30" s="12" t="inlineStr">
        <is>
          <t>NTC thermistor 10k
$0.3</t>
        </is>
      </c>
      <c r="H30" s="12" t="inlineStr">
        <is>
          <t>TMP117 ultra-precise temp
$11</t>
        </is>
      </c>
      <c r="I30" s="12" t="inlineStr">
        <is>
          <t>DS18B20 digital temp probe
$2.5</t>
        </is>
      </c>
    </row>
    <row r="31" ht="32" customHeight="1">
      <c r="A31" s="73" t="inlineStr">
        <is>
          <t>Objects &amp; assets</t>
        </is>
      </c>
      <c r="B31" s="74" t="inlineStr">
        <is>
          <t>Has someone interfered with it?</t>
        </is>
      </c>
      <c r="C31" s="29" t="n">
        <v>3</v>
      </c>
      <c r="D31" s="12" t="inlineStr">
        <is>
          <t>Reed switch
$0.5</t>
        </is>
      </c>
      <c r="E31" s="12" t="inlineStr">
        <is>
          <t>MPR121 12-pad cap touch
$6</t>
        </is>
      </c>
      <c r="F31" s="12" t="inlineStr">
        <is>
          <t>Reed switch
$0.5</t>
        </is>
      </c>
      <c r="G31" s="12" t="inlineStr">
        <is>
          <t>Reed switch
$0.5</t>
        </is>
      </c>
      <c r="H31" s="12" t="inlineStr">
        <is>
          <t>Reed switch
$0.5</t>
        </is>
      </c>
      <c r="I31" s="12" t="inlineStr">
        <is>
          <t>Reed switch
$0.5</t>
        </is>
      </c>
    </row>
    <row r="32" ht="32" customHeight="1">
      <c r="A32" s="73" t="inlineStr">
        <is>
          <t>Machine health</t>
        </is>
      </c>
      <c r="B32" s="74" t="inlineStr">
        <is>
          <t>Is it on?</t>
        </is>
      </c>
      <c r="C32" s="29" t="n">
        <v>4</v>
      </c>
      <c r="D32" s="12" t="inlineStr">
        <is>
          <t>Piezo contact mic / disc
$0.5</t>
        </is>
      </c>
      <c r="E32" s="12" t="inlineStr">
        <is>
          <t>SCT-013 CT clamp
$10</t>
        </is>
      </c>
      <c r="F32" s="12" t="inlineStr">
        <is>
          <t>INMP441 I2S MEMS mic
$3</t>
        </is>
      </c>
      <c r="G32" s="12" t="inlineStr">
        <is>
          <t>Piezo contact mic / disc
$0.5</t>
        </is>
      </c>
      <c r="H32" s="12" t="inlineStr">
        <is>
          <t>Piezo contact mic / disc
$0.5</t>
        </is>
      </c>
      <c r="I32" s="12" t="inlineStr">
        <is>
          <t>ADXL345 accelerometer
$3</t>
        </is>
      </c>
    </row>
    <row r="33" ht="32" customHeight="1">
      <c r="A33" s="73" t="inlineStr">
        <is>
          <t>Machine health</t>
        </is>
      </c>
      <c r="B33" s="74" t="inlineStr">
        <is>
          <t>Is it idle, loaded, or jammed?</t>
        </is>
      </c>
      <c r="C33" s="29" t="n">
        <v>6</v>
      </c>
      <c r="D33" s="12" t="inlineStr">
        <is>
          <t>MPU-6050 6-axis IMU
$2</t>
        </is>
      </c>
      <c r="E33" s="12" t="inlineStr">
        <is>
          <t>SDP810 differential pressure
$35</t>
        </is>
      </c>
      <c r="F33" s="12" t="inlineStr">
        <is>
          <t>INMP441 I2S MEMS mic
$3</t>
        </is>
      </c>
      <c r="G33" s="12" t="inlineStr">
        <is>
          <t>MPU-6050 6-axis IMU
$2</t>
        </is>
      </c>
      <c r="H33" s="12" t="inlineStr">
        <is>
          <t>SCT-013 CT clamp
$10</t>
        </is>
      </c>
      <c r="I33" s="12" t="inlineStr">
        <is>
          <t>ADXL345 accelerometer
$3</t>
        </is>
      </c>
    </row>
    <row r="34" ht="32" customHeight="1">
      <c r="A34" s="73" t="inlineStr">
        <is>
          <t>Machine health</t>
        </is>
      </c>
      <c r="B34" s="74" t="inlineStr">
        <is>
          <t>Is a bearing starting to fail?</t>
        </is>
      </c>
      <c r="C34" s="29" t="n">
        <v>2</v>
      </c>
      <c r="D34" s="12" t="inlineStr">
        <is>
          <t>Piezo contact mic / disc
$0.5</t>
        </is>
      </c>
      <c r="E34" s="12" t="inlineStr">
        <is>
          <t>Piezo contact mic / disc
$0.5</t>
        </is>
      </c>
      <c r="F34" s="12" t="inlineStr">
        <is>
          <t>MLX90614 IR thermometer
$8</t>
        </is>
      </c>
      <c r="G34" s="12" t="inlineStr">
        <is>
          <t>Piezo contact mic / disc
$0.5</t>
        </is>
      </c>
      <c r="H34" s="12" t="inlineStr">
        <is>
          <t>Piezo contact mic / disc
$0.5</t>
        </is>
      </c>
      <c r="I34" s="12" t="inlineStr">
        <is>
          <t>MLX90614 IR thermometer
$8</t>
        </is>
      </c>
    </row>
    <row r="35" ht="32" customHeight="1">
      <c r="A35" s="73" t="inlineStr">
        <is>
          <t>Machine health</t>
        </is>
      </c>
      <c r="B35" s="74" t="inlineStr">
        <is>
          <t>Is something running hotter than it should?</t>
        </is>
      </c>
      <c r="C35" s="29" t="n">
        <v>7</v>
      </c>
      <c r="D35" s="12" t="inlineStr">
        <is>
          <t>NTC thermistor 10k
$0.3</t>
        </is>
      </c>
      <c r="E35" s="12" t="inlineStr">
        <is>
          <t>Grid-EYE AMG8833 thermal array
$35</t>
        </is>
      </c>
      <c r="F35" s="12" t="inlineStr">
        <is>
          <t>MLX90614 IR thermometer
$8</t>
        </is>
      </c>
      <c r="G35" s="12" t="inlineStr">
        <is>
          <t>NTC thermistor 10k
$0.3</t>
        </is>
      </c>
      <c r="H35" s="12" t="inlineStr">
        <is>
          <t>TMP117 ultra-precise temp
$11</t>
        </is>
      </c>
      <c r="I35" s="12" t="inlineStr">
        <is>
          <t>DS18B20 digital temp probe
$2.5</t>
        </is>
      </c>
    </row>
    <row r="36" ht="32" customHeight="1">
      <c r="A36" s="73" t="inlineStr">
        <is>
          <t>Machine health</t>
        </is>
      </c>
      <c r="B36" s="74" t="inlineStr">
        <is>
          <t>Is the filter blocked?</t>
        </is>
      </c>
      <c r="C36" s="29" t="n">
        <v>1</v>
      </c>
      <c r="D36" s="12" t="inlineStr">
        <is>
          <t>SDP810 differential pressure
$35</t>
        </is>
      </c>
      <c r="E36" s="12" t="inlineStr">
        <is>
          <t>SDP810 differential pressure
$35</t>
        </is>
      </c>
      <c r="F36" s="12" t="inlineStr">
        <is>
          <t>SDP810 differential pressure
$35</t>
        </is>
      </c>
      <c r="G36" s="12" t="inlineStr">
        <is>
          <t>SDP810 differential pressure
$35</t>
        </is>
      </c>
      <c r="H36" s="12" t="inlineStr">
        <is>
          <t>SDP810 differential pressure
$35</t>
        </is>
      </c>
      <c r="I36" s="12" t="inlineStr">
        <is>
          <t>SDP810 differential pressure
$35</t>
        </is>
      </c>
    </row>
    <row r="37" ht="32" customHeight="1">
      <c r="A37" s="73" t="inlineStr">
        <is>
          <t>Machine health</t>
        </is>
      </c>
      <c r="B37" s="74" t="inlineStr">
        <is>
          <t>Is compressed air leaking, and where?</t>
        </is>
      </c>
      <c r="C37" s="29" t="n">
        <v>1</v>
      </c>
      <c r="D37" s="12" t="inlineStr">
        <is>
          <t>SDP810 differential pressure
$35</t>
        </is>
      </c>
      <c r="E37" s="12" t="inlineStr">
        <is>
          <t>SDP810 differential pressure
$35</t>
        </is>
      </c>
      <c r="F37" s="12" t="inlineStr">
        <is>
          <t>SDP810 differential pressure
$35</t>
        </is>
      </c>
      <c r="G37" s="12" t="inlineStr">
        <is>
          <t>SDP810 differential pressure
$35</t>
        </is>
      </c>
      <c r="H37" s="12" t="inlineStr">
        <is>
          <t>SDP810 differential pressure
$35</t>
        </is>
      </c>
      <c r="I37" s="12" t="inlineStr">
        <is>
          <t>SDP810 differential pressure
$35</t>
        </is>
      </c>
    </row>
    <row r="38" ht="32" customHeight="1">
      <c r="A38" s="73" t="inlineStr">
        <is>
          <t>Machine health</t>
        </is>
      </c>
      <c r="B38" s="74" t="inlineStr">
        <is>
          <t>Is it drawing an abnormal amount of power?</t>
        </is>
      </c>
      <c r="C38" s="29" t="n">
        <v>1</v>
      </c>
      <c r="D38" s="12" t="inlineStr">
        <is>
          <t>SCT-013 CT clamp
$10</t>
        </is>
      </c>
      <c r="E38" s="12" t="inlineStr">
        <is>
          <t>SCT-013 CT clamp
$10</t>
        </is>
      </c>
      <c r="F38" s="12" t="inlineStr">
        <is>
          <t>SCT-013 CT clamp
$10</t>
        </is>
      </c>
      <c r="G38" s="12" t="inlineStr">
        <is>
          <t>SCT-013 CT clamp
$10</t>
        </is>
      </c>
      <c r="H38" s="12" t="inlineStr">
        <is>
          <t>SCT-013 CT clamp
$10</t>
        </is>
      </c>
      <c r="I38" s="12" t="inlineStr">
        <is>
          <t>SCT-013 CT clamp
$10</t>
        </is>
      </c>
    </row>
    <row r="39" ht="32" customHeight="1">
      <c r="A39" s="73" t="inlineStr">
        <is>
          <t>Machine health</t>
        </is>
      </c>
      <c r="B39" s="74" t="inlineStr">
        <is>
          <t>Has this drifted from how it behaved when new?</t>
        </is>
      </c>
      <c r="C39" s="29" t="n">
        <v>2</v>
      </c>
      <c r="D39" s="12" t="inlineStr">
        <is>
          <t>MCP9808 precision temp
$5</t>
        </is>
      </c>
      <c r="E39" s="12" t="inlineStr">
        <is>
          <t>TMP117 ultra-precise temp
$11</t>
        </is>
      </c>
      <c r="F39" s="12" t="inlineStr">
        <is>
          <t>—</t>
        </is>
      </c>
      <c r="G39" s="12" t="inlineStr">
        <is>
          <t>MCP9808 precision temp
$5</t>
        </is>
      </c>
      <c r="H39" s="12" t="inlineStr">
        <is>
          <t>TMP117 ultra-precise temp
$11</t>
        </is>
      </c>
      <c r="I39" s="12" t="inlineStr">
        <is>
          <t>MCP9808 precision temp
$5</t>
        </is>
      </c>
    </row>
    <row r="40" ht="32" customHeight="1">
      <c r="A40" s="73" t="inlineStr">
        <is>
          <t>Machine health</t>
        </is>
      </c>
      <c r="B40" s="74" t="inlineStr">
        <is>
          <t>How fast is it turning?</t>
        </is>
      </c>
      <c r="C40" s="29" t="n">
        <v>1</v>
      </c>
      <c r="D40" s="12" t="inlineStr">
        <is>
          <t>Reed switch
$0.5</t>
        </is>
      </c>
      <c r="E40" s="12" t="inlineStr">
        <is>
          <t>Reed switch
$0.5</t>
        </is>
      </c>
      <c r="F40" s="12" t="inlineStr">
        <is>
          <t>Reed switch
$0.5</t>
        </is>
      </c>
      <c r="G40" s="12" t="inlineStr">
        <is>
          <t>Reed switch
$0.5</t>
        </is>
      </c>
      <c r="H40" s="12" t="inlineStr">
        <is>
          <t>Reed switch
$0.5</t>
        </is>
      </c>
      <c r="I40" s="12" t="inlineStr">
        <is>
          <t>Reed switch
$0.5</t>
        </is>
      </c>
    </row>
    <row r="41" ht="32" customHeight="1">
      <c r="A41" s="73" t="inlineStr">
        <is>
          <t>Machine health</t>
        </is>
      </c>
      <c r="B41" s="74" t="inlineStr">
        <is>
          <t>Has the cycle finished?</t>
        </is>
      </c>
      <c r="C41" s="29" t="n">
        <v>2</v>
      </c>
      <c r="D41" s="12" t="inlineStr">
        <is>
          <t>Piezo contact mic / disc
$0.5</t>
        </is>
      </c>
      <c r="E41" s="12" t="inlineStr">
        <is>
          <t>Piezo contact mic / disc
$0.5</t>
        </is>
      </c>
      <c r="F41" s="12" t="inlineStr">
        <is>
          <t>—</t>
        </is>
      </c>
      <c r="G41" s="12" t="inlineStr">
        <is>
          <t>Piezo contact mic / disc
$0.5</t>
        </is>
      </c>
      <c r="H41" s="12" t="inlineStr">
        <is>
          <t>Piezo contact mic / disc
$0.5</t>
        </is>
      </c>
      <c r="I41" s="12" t="inlineStr">
        <is>
          <t>ADXL345 accelerometer
$3</t>
        </is>
      </c>
    </row>
    <row r="42" ht="32" customHeight="1">
      <c r="A42" s="73" t="inlineStr">
        <is>
          <t>Air &amp; environment</t>
        </is>
      </c>
      <c r="B42" s="74" t="inlineStr">
        <is>
          <t>Is this room stuffy — does it need fresh air?</t>
        </is>
      </c>
      <c r="C42" s="29" t="n">
        <v>5</v>
      </c>
      <c r="D42" s="12" t="inlineStr">
        <is>
          <t>DHT22 / AM2302
$4</t>
        </is>
      </c>
      <c r="E42" s="12" t="inlineStr">
        <is>
          <t>SCD41 true CO2
$25</t>
        </is>
      </c>
      <c r="F42" s="12" t="inlineStr">
        <is>
          <t>DHT22 / AM2302
$4</t>
        </is>
      </c>
      <c r="G42" s="12" t="inlineStr">
        <is>
          <t>DHT22 / AM2302
$4</t>
        </is>
      </c>
      <c r="H42" s="12" t="inlineStr">
        <is>
          <t>BME280 climate combo
$6</t>
        </is>
      </c>
      <c r="I42" s="12" t="inlineStr">
        <is>
          <t>DHT22 / AM2302
$4</t>
        </is>
      </c>
    </row>
    <row r="43" ht="32" customHeight="1">
      <c r="A43" s="73" t="inlineStr">
        <is>
          <t>Air &amp; environment</t>
        </is>
      </c>
      <c r="B43" s="74" t="inlineStr">
        <is>
          <t>Is ventilation actually working?</t>
        </is>
      </c>
      <c r="C43" s="29" t="n">
        <v>2</v>
      </c>
      <c r="D43" s="12" t="inlineStr">
        <is>
          <t>SCD41 true CO2
$25</t>
        </is>
      </c>
      <c r="E43" s="12" t="inlineStr">
        <is>
          <t>SDP810 differential pressure
$35</t>
        </is>
      </c>
      <c r="F43" s="12" t="inlineStr">
        <is>
          <t>SCD41 true CO2
$25</t>
        </is>
      </c>
      <c r="G43" s="12" t="inlineStr">
        <is>
          <t>SCD41 true CO2
$25</t>
        </is>
      </c>
      <c r="H43" s="12" t="inlineStr">
        <is>
          <t>SCD41 true CO2
$25</t>
        </is>
      </c>
      <c r="I43" s="12" t="inlineStr">
        <is>
          <t>SCD41 true CO2
$25</t>
        </is>
      </c>
    </row>
    <row r="44" ht="32" customHeight="1">
      <c r="A44" s="73" t="inlineStr">
        <is>
          <t>Air &amp; environment</t>
        </is>
      </c>
      <c r="B44" s="74" t="inlineStr">
        <is>
          <t>Is there smoke?</t>
        </is>
      </c>
      <c r="C44" s="29" t="n">
        <v>2</v>
      </c>
      <c r="D44" s="12" t="inlineStr">
        <is>
          <t>MQ-2 smoke/LPG gas
$2</t>
        </is>
      </c>
      <c r="E44" s="12" t="inlineStr">
        <is>
          <t>PMS5003 particulate
$15</t>
        </is>
      </c>
      <c r="F44" s="12" t="inlineStr">
        <is>
          <t>MQ-2 smoke/LPG gas
$2</t>
        </is>
      </c>
      <c r="G44" s="12" t="inlineStr">
        <is>
          <t>MQ-2 smoke/LPG gas
$2</t>
        </is>
      </c>
      <c r="H44" s="12" t="inlineStr">
        <is>
          <t>PMS5003 particulate
$15</t>
        </is>
      </c>
      <c r="I44" s="12" t="inlineStr">
        <is>
          <t>MQ-2 smoke/LPG gas
$2</t>
        </is>
      </c>
    </row>
    <row r="45" ht="32" customHeight="1">
      <c r="A45" s="73" t="inlineStr">
        <is>
          <t>Air &amp; environment</t>
        </is>
      </c>
      <c r="B45" s="74" t="inlineStr">
        <is>
          <t>Is there a flammable gas leak?</t>
        </is>
      </c>
      <c r="C45" s="29" t="n">
        <v>1</v>
      </c>
      <c r="D45" s="12" t="inlineStr">
        <is>
          <t>MQ-2 smoke/LPG gas
$2</t>
        </is>
      </c>
      <c r="E45" s="12" t="inlineStr">
        <is>
          <t>MQ-2 smoke/LPG gas
$2</t>
        </is>
      </c>
      <c r="F45" s="12" t="inlineStr">
        <is>
          <t>MQ-2 smoke/LPG gas
$2</t>
        </is>
      </c>
      <c r="G45" s="12" t="inlineStr">
        <is>
          <t>MQ-2 smoke/LPG gas
$2</t>
        </is>
      </c>
      <c r="H45" s="12" t="inlineStr">
        <is>
          <t>MQ-2 smoke/LPG gas
$2</t>
        </is>
      </c>
      <c r="I45" s="12" t="inlineStr">
        <is>
          <t>MQ-2 smoke/LPG gas
$2</t>
        </is>
      </c>
    </row>
    <row r="46" ht="32" customHeight="1">
      <c r="A46" s="73" t="inlineStr">
        <is>
          <t>Air &amp; environment</t>
        </is>
      </c>
      <c r="B46" s="74" t="inlineStr">
        <is>
          <t>Did something start off-gassing or smelling?</t>
        </is>
      </c>
      <c r="C46" s="29" t="n">
        <v>1</v>
      </c>
      <c r="D46" s="12" t="inlineStr">
        <is>
          <t>BME688 gas + climate AI
$15</t>
        </is>
      </c>
      <c r="E46" s="12" t="inlineStr">
        <is>
          <t>BME688 gas + climate AI
$15</t>
        </is>
      </c>
      <c r="F46" s="12" t="inlineStr">
        <is>
          <t>BME688 gas + climate AI
$15</t>
        </is>
      </c>
      <c r="G46" s="12" t="inlineStr">
        <is>
          <t>BME688 gas + climate AI
$15</t>
        </is>
      </c>
      <c r="H46" s="12" t="inlineStr">
        <is>
          <t>BME688 gas + climate AI
$15</t>
        </is>
      </c>
      <c r="I46" s="12" t="inlineStr">
        <is>
          <t>BME688 gas + climate AI
$15</t>
        </is>
      </c>
    </row>
    <row r="47" ht="32" customHeight="1">
      <c r="A47" s="73" t="inlineStr">
        <is>
          <t>Air &amp; environment</t>
        </is>
      </c>
      <c r="B47" s="74" t="inlineStr">
        <is>
          <t>How polluted is the air right now?</t>
        </is>
      </c>
      <c r="C47" s="29" t="n">
        <v>1</v>
      </c>
      <c r="D47" s="12" t="inlineStr">
        <is>
          <t>PMS5003 particulate
$15</t>
        </is>
      </c>
      <c r="E47" s="12" t="inlineStr">
        <is>
          <t>PMS5003 particulate
$15</t>
        </is>
      </c>
      <c r="F47" s="12" t="inlineStr">
        <is>
          <t>PMS5003 particulate
$15</t>
        </is>
      </c>
      <c r="G47" s="12" t="inlineStr">
        <is>
          <t>PMS5003 particulate
$15</t>
        </is>
      </c>
      <c r="H47" s="12" t="inlineStr">
        <is>
          <t>PMS5003 particulate
$15</t>
        </is>
      </c>
      <c r="I47" s="12" t="inlineStr">
        <is>
          <t>PMS5003 particulate
$15</t>
        </is>
      </c>
    </row>
    <row r="48" ht="32" customHeight="1">
      <c r="A48" s="73" t="inlineStr">
        <is>
          <t>Air &amp; environment</t>
        </is>
      </c>
      <c r="B48" s="74" t="inlineStr">
        <is>
          <t>Is this surface going to grow mould?</t>
        </is>
      </c>
      <c r="C48" s="29" t="n">
        <v>3</v>
      </c>
      <c r="D48" s="12" t="inlineStr">
        <is>
          <t>DHT22 / AM2302
$4</t>
        </is>
      </c>
      <c r="E48" s="12" t="inlineStr">
        <is>
          <t>SHT41 humidity + temp
$6</t>
        </is>
      </c>
      <c r="F48" s="12" t="inlineStr">
        <is>
          <t>DHT22 / AM2302
$4</t>
        </is>
      </c>
      <c r="G48" s="12" t="inlineStr">
        <is>
          <t>DHT22 / AM2302
$4</t>
        </is>
      </c>
      <c r="H48" s="12" t="inlineStr">
        <is>
          <t>BME280 climate combo
$6</t>
        </is>
      </c>
      <c r="I48" s="12" t="inlineStr">
        <is>
          <t>DHT22 / AM2302
$4</t>
        </is>
      </c>
    </row>
    <row r="49" ht="32" customHeight="1">
      <c r="A49" s="73" t="inlineStr">
        <is>
          <t>Air &amp; environment</t>
        </is>
      </c>
      <c r="B49" s="74" t="inlineStr">
        <is>
          <t>Is the air dry enough to damage wood, skin or instruments?</t>
        </is>
      </c>
      <c r="C49" s="29" t="n">
        <v>2</v>
      </c>
      <c r="D49" s="12" t="inlineStr">
        <is>
          <t>DHT22 / AM2302
$4</t>
        </is>
      </c>
      <c r="E49" s="12" t="inlineStr">
        <is>
          <t>SHT41 humidity + temp
$6</t>
        </is>
      </c>
      <c r="F49" s="12" t="inlineStr">
        <is>
          <t>DHT22 / AM2302
$4</t>
        </is>
      </c>
      <c r="G49" s="12" t="inlineStr">
        <is>
          <t>DHT22 / AM2302
$4</t>
        </is>
      </c>
      <c r="H49" s="12" t="inlineStr">
        <is>
          <t>SHT41 humidity + temp
$6</t>
        </is>
      </c>
      <c r="I49" s="12" t="inlineStr">
        <is>
          <t>DHT22 / AM2302
$4</t>
        </is>
      </c>
    </row>
    <row r="50" ht="32" customHeight="1">
      <c r="A50" s="73" t="inlineStr">
        <is>
          <t>Air &amp; environment</t>
        </is>
      </c>
      <c r="B50" s="74" t="inlineStr">
        <is>
          <t>Is someone cooking?</t>
        </is>
      </c>
      <c r="C50" s="29" t="n">
        <v>3</v>
      </c>
      <c r="D50" s="12" t="inlineStr">
        <is>
          <t>INMP441 I2S MEMS mic
$3</t>
        </is>
      </c>
      <c r="E50" s="12" t="inlineStr">
        <is>
          <t>BME688 gas + climate AI
$15</t>
        </is>
      </c>
      <c r="F50" s="12" t="inlineStr">
        <is>
          <t>INMP441 I2S MEMS mic
$3</t>
        </is>
      </c>
      <c r="G50" s="12" t="inlineStr">
        <is>
          <t>BME688 gas + climate AI
$15</t>
        </is>
      </c>
      <c r="H50" s="12" t="inlineStr">
        <is>
          <t>BME688 gas + climate AI
$15</t>
        </is>
      </c>
      <c r="I50" s="12" t="inlineStr">
        <is>
          <t>INMP441 I2S MEMS mic
$3</t>
        </is>
      </c>
    </row>
    <row r="51" ht="32" customHeight="1">
      <c r="A51" s="73" t="inlineStr">
        <is>
          <t>Air &amp; environment</t>
        </is>
      </c>
      <c r="B51" s="74" t="inlineStr">
        <is>
          <t>What does this smell like — which known smell is it?</t>
        </is>
      </c>
      <c r="C51" s="29" t="n">
        <v>1</v>
      </c>
      <c r="D51" s="12" t="inlineStr">
        <is>
          <t>BME688 gas + climate AI
$15</t>
        </is>
      </c>
      <c r="E51" s="12" t="inlineStr">
        <is>
          <t>BME688 gas + climate AI
$15</t>
        </is>
      </c>
      <c r="F51" s="12" t="inlineStr">
        <is>
          <t>BME688 gas + climate AI
$15</t>
        </is>
      </c>
      <c r="G51" s="12" t="inlineStr">
        <is>
          <t>BME688 gas + climate AI
$15</t>
        </is>
      </c>
      <c r="H51" s="12" t="inlineStr">
        <is>
          <t>BME688 gas + climate AI
$15</t>
        </is>
      </c>
      <c r="I51" s="12" t="inlineStr">
        <is>
          <t>BME688 gas + climate AI
$15</t>
        </is>
      </c>
    </row>
    <row r="52" ht="32" customHeight="1">
      <c r="A52" s="73" t="inlineStr">
        <is>
          <t>Weather &amp; outdoors</t>
        </is>
      </c>
      <c r="B52" s="74" t="inlineStr">
        <is>
          <t>Is it raining, and how hard?</t>
        </is>
      </c>
      <c r="C52" s="29" t="n">
        <v>1</v>
      </c>
      <c r="D52" s="12" t="inlineStr">
        <is>
          <t>Reed switch
$0.5</t>
        </is>
      </c>
      <c r="E52" s="12" t="inlineStr">
        <is>
          <t>Reed switch
$0.5</t>
        </is>
      </c>
      <c r="F52" s="12" t="inlineStr">
        <is>
          <t>Reed switch
$0.5</t>
        </is>
      </c>
      <c r="G52" s="12" t="inlineStr">
        <is>
          <t>Reed switch
$0.5</t>
        </is>
      </c>
      <c r="H52" s="12" t="inlineStr">
        <is>
          <t>Reed switch
$0.5</t>
        </is>
      </c>
      <c r="I52" s="12" t="inlineStr">
        <is>
          <t>Reed switch
$0.5</t>
        </is>
      </c>
    </row>
    <row r="53" ht="32" customHeight="1">
      <c r="A53" s="73" t="inlineStr">
        <is>
          <t>Weather &amp; outdoors</t>
        </is>
      </c>
      <c r="B53" s="74" t="inlineStr">
        <is>
          <t>Is a storm coming?</t>
        </is>
      </c>
      <c r="C53" s="29" t="n">
        <v>2</v>
      </c>
      <c r="D53" s="12" t="inlineStr">
        <is>
          <t>BME280 climate combo
$6</t>
        </is>
      </c>
      <c r="E53" s="12" t="inlineStr">
        <is>
          <t>BMP390 precision barometer
$10</t>
        </is>
      </c>
      <c r="F53" s="12" t="inlineStr">
        <is>
          <t>BME280 climate combo
$6</t>
        </is>
      </c>
      <c r="G53" s="12" t="inlineStr">
        <is>
          <t>BME280 climate combo
$6</t>
        </is>
      </c>
      <c r="H53" s="12" t="inlineStr">
        <is>
          <t>BMP390 precision barometer
$10</t>
        </is>
      </c>
      <c r="I53" s="12" t="inlineStr">
        <is>
          <t>BME280 climate combo
$6</t>
        </is>
      </c>
    </row>
    <row r="54" ht="32" customHeight="1">
      <c r="A54" s="73" t="inlineStr">
        <is>
          <t>Weather &amp; outdoors</t>
        </is>
      </c>
      <c r="B54" s="74" t="inlineStr">
        <is>
          <t>Will there be frost tonight?</t>
        </is>
      </c>
      <c r="C54" s="29" t="n">
        <v>1</v>
      </c>
      <c r="D54" s="12" t="inlineStr">
        <is>
          <t>MLX90614 IR thermometer
$8</t>
        </is>
      </c>
      <c r="E54" s="12" t="inlineStr">
        <is>
          <t>MLX90614 IR thermometer
$8</t>
        </is>
      </c>
      <c r="F54" s="12" t="inlineStr">
        <is>
          <t>MLX90614 IR thermometer
$8</t>
        </is>
      </c>
      <c r="G54" s="12" t="inlineStr">
        <is>
          <t>MLX90614 IR thermometer
$8</t>
        </is>
      </c>
      <c r="H54" s="12" t="inlineStr">
        <is>
          <t>MLX90614 IR thermometer
$8</t>
        </is>
      </c>
      <c r="I54" s="12" t="inlineStr">
        <is>
          <t>MLX90614 IR thermometer
$8</t>
        </is>
      </c>
    </row>
    <row r="55" ht="32" customHeight="1">
      <c r="A55" s="73" t="inlineStr">
        <is>
          <t>Weather &amp; outdoors</t>
        </is>
      </c>
      <c r="B55" s="74" t="inlineStr">
        <is>
          <t>Is the sky clear or clouded?</t>
        </is>
      </c>
      <c r="C55" s="29" t="n">
        <v>2</v>
      </c>
      <c r="D55" s="12" t="inlineStr">
        <is>
          <t>BH1750 lux sensor
$2.5</t>
        </is>
      </c>
      <c r="E55" s="12" t="inlineStr">
        <is>
          <t>MLX90614 IR thermometer
$8</t>
        </is>
      </c>
      <c r="F55" s="12" t="inlineStr">
        <is>
          <t>BH1750 lux sensor
$2.5</t>
        </is>
      </c>
      <c r="G55" s="12" t="inlineStr">
        <is>
          <t>BH1750 lux sensor
$2.5</t>
        </is>
      </c>
      <c r="H55" s="12" t="inlineStr">
        <is>
          <t>BH1750 lux sensor
$2.5</t>
        </is>
      </c>
      <c r="I55" s="12" t="inlineStr">
        <is>
          <t>BH1750 lux sensor
$2.5</t>
        </is>
      </c>
    </row>
    <row r="56" ht="32" customHeight="1">
      <c r="A56" s="73" t="inlineStr">
        <is>
          <t>Water</t>
        </is>
      </c>
      <c r="B56" s="74" t="inlineStr">
        <is>
          <t>Is water escaping where it shouldn't?</t>
        </is>
      </c>
      <c r="C56" s="29" t="n">
        <v>1</v>
      </c>
      <c r="D56" s="12" t="inlineStr">
        <is>
          <t>YF-S201 flow sensor
$5</t>
        </is>
      </c>
      <c r="E56" s="12" t="inlineStr">
        <is>
          <t>YF-S201 flow sensor
$5</t>
        </is>
      </c>
      <c r="F56" s="12" t="inlineStr">
        <is>
          <t>—</t>
        </is>
      </c>
      <c r="G56" s="12" t="inlineStr">
        <is>
          <t>YF-S201 flow sensor
$5</t>
        </is>
      </c>
      <c r="H56" s="12" t="inlineStr">
        <is>
          <t>YF-S201 flow sensor
$5</t>
        </is>
      </c>
      <c r="I56" s="12" t="inlineStr">
        <is>
          <t>YF-S201 flow sensor
$5</t>
        </is>
      </c>
    </row>
    <row r="57" ht="32" customHeight="1">
      <c r="A57" s="73" t="inlineStr">
        <is>
          <t>Water</t>
        </is>
      </c>
      <c r="B57" s="74" t="inlineStr">
        <is>
          <t>How much is in the tank?</t>
        </is>
      </c>
      <c r="C57" s="29" t="n">
        <v>4</v>
      </c>
      <c r="D57" s="12" t="inlineStr">
        <is>
          <t>ESP32 native touch pins
$0</t>
        </is>
      </c>
      <c r="E57" s="12" t="inlineStr">
        <is>
          <t>MPR121 12-pad cap touch
$6</t>
        </is>
      </c>
      <c r="F57" s="12" t="inlineStr">
        <is>
          <t>HC-SR04 ultrasonic
$1.5</t>
        </is>
      </c>
      <c r="G57" s="12" t="inlineStr">
        <is>
          <t>HC-SR04 ultrasonic
$1.5</t>
        </is>
      </c>
      <c r="H57" s="12" t="inlineStr">
        <is>
          <t>ESP32 native touch pins
$0</t>
        </is>
      </c>
      <c r="I57" s="12" t="inlineStr">
        <is>
          <t>ESP32 native touch pins
$0</t>
        </is>
      </c>
    </row>
    <row r="58" ht="32" customHeight="1">
      <c r="A58" s="73" t="inlineStr">
        <is>
          <t>Water</t>
        </is>
      </c>
      <c r="B58" s="74" t="inlineStr">
        <is>
          <t>How fast is water flowing?</t>
        </is>
      </c>
      <c r="C58" s="29" t="n">
        <v>1</v>
      </c>
      <c r="D58" s="12" t="inlineStr">
        <is>
          <t>YF-S201 flow sensor
$5</t>
        </is>
      </c>
      <c r="E58" s="12" t="inlineStr">
        <is>
          <t>YF-S201 flow sensor
$5</t>
        </is>
      </c>
      <c r="F58" s="12" t="inlineStr">
        <is>
          <t>—</t>
        </is>
      </c>
      <c r="G58" s="12" t="inlineStr">
        <is>
          <t>YF-S201 flow sensor
$5</t>
        </is>
      </c>
      <c r="H58" s="12" t="inlineStr">
        <is>
          <t>YF-S201 flow sensor
$5</t>
        </is>
      </c>
      <c r="I58" s="12" t="inlineStr">
        <is>
          <t>YF-S201 flow sensor
$5</t>
        </is>
      </c>
    </row>
    <row r="59" ht="32" customHeight="1">
      <c r="A59" s="73" t="inlineStr">
        <is>
          <t>Water</t>
        </is>
      </c>
      <c r="B59" s="74" t="inlineStr">
        <is>
          <t>How much water was used, by whom, and when?</t>
        </is>
      </c>
      <c r="C59" s="29" t="n">
        <v>1</v>
      </c>
      <c r="D59" s="12" t="inlineStr">
        <is>
          <t>YF-S201 flow sensor
$5</t>
        </is>
      </c>
      <c r="E59" s="12" t="inlineStr">
        <is>
          <t>YF-S201 flow sensor
$5</t>
        </is>
      </c>
      <c r="F59" s="12" t="inlineStr">
        <is>
          <t>—</t>
        </is>
      </c>
      <c r="G59" s="12" t="inlineStr">
        <is>
          <t>YF-S201 flow sensor
$5</t>
        </is>
      </c>
      <c r="H59" s="12" t="inlineStr">
        <is>
          <t>YF-S201 flow sensor
$5</t>
        </is>
      </c>
      <c r="I59" s="12" t="inlineStr">
        <is>
          <t>YF-S201 flow sensor
$5</t>
        </is>
      </c>
    </row>
    <row r="60" ht="32" customHeight="1">
      <c r="A60" s="73" t="inlineStr">
        <is>
          <t>Water</t>
        </is>
      </c>
      <c r="B60" s="74" t="inlineStr">
        <is>
          <t>Is the pump about to run dry?</t>
        </is>
      </c>
      <c r="C60" s="29" t="n">
        <v>1</v>
      </c>
      <c r="D60" s="12" t="inlineStr">
        <is>
          <t>YF-S201 flow sensor
$5</t>
        </is>
      </c>
      <c r="E60" s="12" t="inlineStr">
        <is>
          <t>YF-S201 flow sensor
$5</t>
        </is>
      </c>
      <c r="F60" s="12" t="inlineStr">
        <is>
          <t>—</t>
        </is>
      </c>
      <c r="G60" s="12" t="inlineStr">
        <is>
          <t>YF-S201 flow sensor
$5</t>
        </is>
      </c>
      <c r="H60" s="12" t="inlineStr">
        <is>
          <t>YF-S201 flow sensor
$5</t>
        </is>
      </c>
      <c r="I60" s="12" t="inlineStr">
        <is>
          <t>YF-S201 flow sensor
$5</t>
        </is>
      </c>
    </row>
    <row r="61" ht="32" customHeight="1">
      <c r="A61" s="73" t="inlineStr">
        <is>
          <t>Water</t>
        </is>
      </c>
      <c r="B61" s="74" t="inlineStr">
        <is>
          <t>Is the water at the right temperature?</t>
        </is>
      </c>
      <c r="C61" s="29" t="n">
        <v>1</v>
      </c>
      <c r="D61" s="12" t="inlineStr">
        <is>
          <t>DS18B20 digital temp probe
$2.5</t>
        </is>
      </c>
      <c r="E61" s="12" t="inlineStr">
        <is>
          <t>DS18B20 digital temp probe
$2.5</t>
        </is>
      </c>
      <c r="F61" s="12" t="inlineStr">
        <is>
          <t>—</t>
        </is>
      </c>
      <c r="G61" s="12" t="inlineStr">
        <is>
          <t>DS18B20 digital temp probe
$2.5</t>
        </is>
      </c>
      <c r="H61" s="12" t="inlineStr">
        <is>
          <t>DS18B20 digital temp probe
$2.5</t>
        </is>
      </c>
      <c r="I61" s="12" t="inlineStr">
        <is>
          <t>DS18B20 digital temp probe
$2.5</t>
        </is>
      </c>
    </row>
    <row r="62" ht="32" customHeight="1">
      <c r="A62" s="73" t="inlineStr">
        <is>
          <t>Water</t>
        </is>
      </c>
      <c r="B62" s="74" t="inlineStr">
        <is>
          <t>How much heat did this water actually carry?</t>
        </is>
      </c>
      <c r="C62" s="29" t="n">
        <v>2</v>
      </c>
      <c r="D62" s="12" t="inlineStr">
        <is>
          <t>DS18B20 digital temp probe
$2.5</t>
        </is>
      </c>
      <c r="E62" s="12" t="inlineStr">
        <is>
          <t>YF-S201 flow sensor
$5</t>
        </is>
      </c>
      <c r="F62" s="12" t="inlineStr">
        <is>
          <t>—</t>
        </is>
      </c>
      <c r="G62" s="12" t="inlineStr">
        <is>
          <t>DS18B20 digital temp probe
$2.5</t>
        </is>
      </c>
      <c r="H62" s="12" t="inlineStr">
        <is>
          <t>DS18B20 digital temp probe
$2.5</t>
        </is>
      </c>
      <c r="I62" s="12" t="inlineStr">
        <is>
          <t>DS18B20 digital temp probe
$2.5</t>
        </is>
      </c>
    </row>
    <row r="63" ht="32" customHeight="1">
      <c r="A63" s="73" t="inlineStr">
        <is>
          <t>Plants &amp; soil</t>
        </is>
      </c>
      <c r="B63" s="74" t="inlineStr">
        <is>
          <t>Does this plant need water?</t>
        </is>
      </c>
      <c r="C63" s="29" t="n">
        <v>1</v>
      </c>
      <c r="D63" s="12" t="inlineStr">
        <is>
          <t>Capacitive soil moisture v2
$2</t>
        </is>
      </c>
      <c r="E63" s="12" t="inlineStr">
        <is>
          <t>Capacitive soil moisture v2
$2</t>
        </is>
      </c>
      <c r="F63" s="12" t="inlineStr">
        <is>
          <t>—</t>
        </is>
      </c>
      <c r="G63" s="12" t="inlineStr">
        <is>
          <t>Capacitive soil moisture v2
$2</t>
        </is>
      </c>
      <c r="H63" s="12" t="inlineStr">
        <is>
          <t>Capacitive soil moisture v2
$2</t>
        </is>
      </c>
      <c r="I63" s="12" t="inlineStr">
        <is>
          <t>Capacitive soil moisture v2
$2</t>
        </is>
      </c>
    </row>
    <row r="64" ht="32" customHeight="1">
      <c r="A64" s="73" t="inlineStr">
        <is>
          <t>Plants &amp; soil</t>
        </is>
      </c>
      <c r="B64" s="74" t="inlineStr">
        <is>
          <t>How hard must roots work to get water?</t>
        </is>
      </c>
      <c r="C64" s="29" t="n">
        <v>1</v>
      </c>
      <c r="D64" s="12" t="inlineStr">
        <is>
          <t>Capacitive soil moisture v2
$2</t>
        </is>
      </c>
      <c r="E64" s="12" t="inlineStr">
        <is>
          <t>Capacitive soil moisture v2
$2</t>
        </is>
      </c>
      <c r="F64" s="12" t="inlineStr">
        <is>
          <t>—</t>
        </is>
      </c>
      <c r="G64" s="12" t="inlineStr">
        <is>
          <t>Capacitive soil moisture v2
$2</t>
        </is>
      </c>
      <c r="H64" s="12" t="inlineStr">
        <is>
          <t>Capacitive soil moisture v2
$2</t>
        </is>
      </c>
      <c r="I64" s="12" t="inlineStr">
        <is>
          <t>Capacitive soil moisture v2
$2</t>
        </is>
      </c>
    </row>
    <row r="65" ht="32" customHeight="1">
      <c r="A65" s="73" t="inlineStr">
        <is>
          <t>Plants &amp; soil</t>
        </is>
      </c>
      <c r="B65" s="74" t="inlineStr">
        <is>
          <t>Is the soil warm enough to sow?</t>
        </is>
      </c>
      <c r="C65" s="29" t="n">
        <v>1</v>
      </c>
      <c r="D65" s="12" t="inlineStr">
        <is>
          <t>DS18B20 digital temp probe
$2.5</t>
        </is>
      </c>
      <c r="E65" s="12" t="inlineStr">
        <is>
          <t>DS18B20 digital temp probe
$2.5</t>
        </is>
      </c>
      <c r="F65" s="12" t="inlineStr">
        <is>
          <t>—</t>
        </is>
      </c>
      <c r="G65" s="12" t="inlineStr">
        <is>
          <t>DS18B20 digital temp probe
$2.5</t>
        </is>
      </c>
      <c r="H65" s="12" t="inlineStr">
        <is>
          <t>DS18B20 digital temp probe
$2.5</t>
        </is>
      </c>
      <c r="I65" s="12" t="inlineStr">
        <is>
          <t>DS18B20 digital temp probe
$2.5</t>
        </is>
      </c>
    </row>
    <row r="66" ht="32" customHeight="1">
      <c r="A66" s="73" t="inlineStr">
        <is>
          <t>Plants &amp; soil</t>
        </is>
      </c>
      <c r="B66" s="74" t="inlineStr">
        <is>
          <t>Are conditions right for fungal disease?</t>
        </is>
      </c>
      <c r="C66" s="29" t="n">
        <v>1</v>
      </c>
      <c r="D66" s="12" t="inlineStr">
        <is>
          <t>SHT41 humidity + temp
$6</t>
        </is>
      </c>
      <c r="E66" s="12" t="inlineStr">
        <is>
          <t>SHT41 humidity + temp
$6</t>
        </is>
      </c>
      <c r="F66" s="12" t="inlineStr">
        <is>
          <t>SHT41 humidity + temp
$6</t>
        </is>
      </c>
      <c r="G66" s="12" t="inlineStr">
        <is>
          <t>SHT41 humidity + temp
$6</t>
        </is>
      </c>
      <c r="H66" s="12" t="inlineStr">
        <is>
          <t>SHT41 humidity + temp
$6</t>
        </is>
      </c>
      <c r="I66" s="12" t="inlineStr">
        <is>
          <t>SHT41 humidity + temp
$6</t>
        </is>
      </c>
    </row>
    <row r="67" ht="32" customHeight="1">
      <c r="A67" s="73" t="inlineStr">
        <is>
          <t>Plants &amp; soil</t>
        </is>
      </c>
      <c r="B67" s="74" t="inlineStr">
        <is>
          <t>How fast is it growing?</t>
        </is>
      </c>
      <c r="C67" s="29" t="n">
        <v>1</v>
      </c>
      <c r="D67" s="12" t="inlineStr">
        <is>
          <t>SCD41 true CO2
$25</t>
        </is>
      </c>
      <c r="E67" s="12" t="inlineStr">
        <is>
          <t>SCD41 true CO2
$25</t>
        </is>
      </c>
      <c r="F67" s="12" t="inlineStr">
        <is>
          <t>SCD41 true CO2
$25</t>
        </is>
      </c>
      <c r="G67" s="12" t="inlineStr">
        <is>
          <t>SCD41 true CO2
$25</t>
        </is>
      </c>
      <c r="H67" s="12" t="inlineStr">
        <is>
          <t>SCD41 true CO2
$25</t>
        </is>
      </c>
      <c r="I67" s="12" t="inlineStr">
        <is>
          <t>SCD41 true CO2
$25</t>
        </is>
      </c>
    </row>
    <row r="68" ht="32" customHeight="1">
      <c r="A68" s="73" t="inlineStr">
        <is>
          <t>Plants &amp; soil</t>
        </is>
      </c>
      <c r="B68" s="74" t="inlineStr">
        <is>
          <t>Has this plant had enough light today?</t>
        </is>
      </c>
      <c r="C68" s="29" t="n">
        <v>1</v>
      </c>
      <c r="D68" s="12" t="inlineStr">
        <is>
          <t>BH1750 lux sensor
$2.5</t>
        </is>
      </c>
      <c r="E68" s="12" t="inlineStr">
        <is>
          <t>BH1750 lux sensor
$2.5</t>
        </is>
      </c>
      <c r="F68" s="12" t="inlineStr">
        <is>
          <t>BH1750 lux sensor
$2.5</t>
        </is>
      </c>
      <c r="G68" s="12" t="inlineStr">
        <is>
          <t>BH1750 lux sensor
$2.5</t>
        </is>
      </c>
      <c r="H68" s="12" t="inlineStr">
        <is>
          <t>BH1750 lux sensor
$2.5</t>
        </is>
      </c>
      <c r="I68" s="12" t="inlineStr">
        <is>
          <t>BH1750 lux sensor
$2.5</t>
        </is>
      </c>
    </row>
    <row r="69" ht="32" customHeight="1">
      <c r="A69" s="73" t="inlineStr">
        <is>
          <t>Plants &amp; soil</t>
        </is>
      </c>
      <c r="B69" s="74" t="inlineStr">
        <is>
          <t>Is the compost heating properly — or dangerously?</t>
        </is>
      </c>
      <c r="C69" s="29" t="n">
        <v>1</v>
      </c>
      <c r="D69" s="12" t="inlineStr">
        <is>
          <t>DS18B20 digital temp probe
$2.5</t>
        </is>
      </c>
      <c r="E69" s="12" t="inlineStr">
        <is>
          <t>DS18B20 digital temp probe
$2.5</t>
        </is>
      </c>
      <c r="F69" s="12" t="inlineStr">
        <is>
          <t>—</t>
        </is>
      </c>
      <c r="G69" s="12" t="inlineStr">
        <is>
          <t>DS18B20 digital temp probe
$2.5</t>
        </is>
      </c>
      <c r="H69" s="12" t="inlineStr">
        <is>
          <t>DS18B20 digital temp probe
$2.5</t>
        </is>
      </c>
      <c r="I69" s="12" t="inlineStr">
        <is>
          <t>DS18B20 digital temp probe
$2.5</t>
        </is>
      </c>
    </row>
    <row r="70" ht="32" customHeight="1">
      <c r="A70" s="73" t="inlineStr">
        <is>
          <t>Plants &amp; soil</t>
        </is>
      </c>
      <c r="B70" s="74" t="inlineStr">
        <is>
          <t>What is the beehive doing?</t>
        </is>
      </c>
      <c r="C70" s="29" t="n">
        <v>3</v>
      </c>
      <c r="D70" s="12" t="inlineStr">
        <is>
          <t>INMP441 I2S MEMS mic
$3</t>
        </is>
      </c>
      <c r="E70" s="12" t="inlineStr">
        <is>
          <t>SCD41 true CO2
$25</t>
        </is>
      </c>
      <c r="F70" s="12" t="inlineStr">
        <is>
          <t>INMP441 I2S MEMS mic
$3</t>
        </is>
      </c>
      <c r="G70" s="12" t="inlineStr">
        <is>
          <t>HX711 + load cell
$5</t>
        </is>
      </c>
      <c r="H70" s="12" t="inlineStr">
        <is>
          <t>SCD41 true CO2
$25</t>
        </is>
      </c>
      <c r="I70" s="12" t="inlineStr">
        <is>
          <t>SCD41 true CO2
$25</t>
        </is>
      </c>
    </row>
    <row r="71" ht="32" customHeight="1">
      <c r="A71" s="73" t="inlineStr">
        <is>
          <t>Energy</t>
        </is>
      </c>
      <c r="B71" s="74" t="inlineStr">
        <is>
          <t>How much power is being used right now?</t>
        </is>
      </c>
      <c r="C71" s="29" t="n">
        <v>1</v>
      </c>
      <c r="D71" s="12" t="inlineStr">
        <is>
          <t>SCT-013 CT clamp
$10</t>
        </is>
      </c>
      <c r="E71" s="12" t="inlineStr">
        <is>
          <t>SCT-013 CT clamp
$10</t>
        </is>
      </c>
      <c r="F71" s="12" t="inlineStr">
        <is>
          <t>SCT-013 CT clamp
$10</t>
        </is>
      </c>
      <c r="G71" s="12" t="inlineStr">
        <is>
          <t>SCT-013 CT clamp
$10</t>
        </is>
      </c>
      <c r="H71" s="12" t="inlineStr">
        <is>
          <t>SCT-013 CT clamp
$10</t>
        </is>
      </c>
      <c r="I71" s="12" t="inlineStr">
        <is>
          <t>SCT-013 CT clamp
$10</t>
        </is>
      </c>
    </row>
    <row r="72" ht="32" customHeight="1">
      <c r="A72" s="73" t="inlineStr">
        <is>
          <t>Energy</t>
        </is>
      </c>
      <c r="B72" s="74" t="inlineStr">
        <is>
          <t>Which appliance just turned on?</t>
        </is>
      </c>
      <c r="C72" s="29" t="n">
        <v>1</v>
      </c>
      <c r="D72" s="12" t="inlineStr">
        <is>
          <t>SCT-013 CT clamp
$10</t>
        </is>
      </c>
      <c r="E72" s="12" t="inlineStr">
        <is>
          <t>SCT-013 CT clamp
$10</t>
        </is>
      </c>
      <c r="F72" s="12" t="inlineStr">
        <is>
          <t>SCT-013 CT clamp
$10</t>
        </is>
      </c>
      <c r="G72" s="12" t="inlineStr">
        <is>
          <t>SCT-013 CT clamp
$10</t>
        </is>
      </c>
      <c r="H72" s="12" t="inlineStr">
        <is>
          <t>SCT-013 CT clamp
$10</t>
        </is>
      </c>
      <c r="I72" s="12" t="inlineStr">
        <is>
          <t>SCT-013 CT clamp
$10</t>
        </is>
      </c>
    </row>
    <row r="73" ht="32" customHeight="1">
      <c r="A73" s="73" t="inlineStr">
        <is>
          <t>Energy</t>
        </is>
      </c>
      <c r="B73" s="74" t="inlineStr">
        <is>
          <t>What is draining power while doing nothing?</t>
        </is>
      </c>
      <c r="C73" s="29" t="n">
        <v>1</v>
      </c>
      <c r="D73" s="12" t="inlineStr">
        <is>
          <t>SCT-013 CT clamp
$10</t>
        </is>
      </c>
      <c r="E73" s="12" t="inlineStr">
        <is>
          <t>SCT-013 CT clamp
$10</t>
        </is>
      </c>
      <c r="F73" s="12" t="inlineStr">
        <is>
          <t>SCT-013 CT clamp
$10</t>
        </is>
      </c>
      <c r="G73" s="12" t="inlineStr">
        <is>
          <t>SCT-013 CT clamp
$10</t>
        </is>
      </c>
      <c r="H73" s="12" t="inlineStr">
        <is>
          <t>SCT-013 CT clamp
$10</t>
        </is>
      </c>
      <c r="I73" s="12" t="inlineStr">
        <is>
          <t>SCT-013 CT clamp
$10</t>
        </is>
      </c>
    </row>
    <row r="74" ht="32" customHeight="1">
      <c r="A74" s="73" t="inlineStr">
        <is>
          <t>Energy</t>
        </is>
      </c>
      <c r="B74" s="74" t="inlineStr">
        <is>
          <t>Did someone leave it switched on?</t>
        </is>
      </c>
      <c r="C74" s="29" t="n">
        <v>4</v>
      </c>
      <c r="D74" s="12" t="inlineStr">
        <is>
          <t>Photoresistor (LDR)
$0.2</t>
        </is>
      </c>
      <c r="E74" s="12" t="inlineStr">
        <is>
          <t>SCT-013 CT clamp
$10</t>
        </is>
      </c>
      <c r="F74" s="12" t="inlineStr">
        <is>
          <t>Photoresistor (LDR)
$0.2</t>
        </is>
      </c>
      <c r="G74" s="12" t="inlineStr">
        <is>
          <t>Photoresistor (LDR)
$0.2</t>
        </is>
      </c>
      <c r="H74" s="12" t="inlineStr">
        <is>
          <t>SCT-013 CT clamp
$10</t>
        </is>
      </c>
      <c r="I74" s="12" t="inlineStr">
        <is>
          <t>Photoresistor (LDR)
$0.2</t>
        </is>
      </c>
    </row>
    <row r="75" ht="32" customHeight="1">
      <c r="A75" s="73" t="inlineStr">
        <is>
          <t>Security &amp; safety</t>
        </is>
      </c>
      <c r="B75" s="74" t="inlineStr">
        <is>
          <t>Has someone entered who shouldn't have?</t>
        </is>
      </c>
      <c r="C75" s="29" t="n">
        <v>1</v>
      </c>
      <c r="D75" s="12" t="inlineStr">
        <is>
          <t>HC-SR501 PIR motion
$1.5</t>
        </is>
      </c>
      <c r="E75" s="12" t="inlineStr">
        <is>
          <t>HC-SR501 PIR motion
$1.5</t>
        </is>
      </c>
      <c r="F75" s="12" t="inlineStr">
        <is>
          <t>HC-SR501 PIR motion
$1.5</t>
        </is>
      </c>
      <c r="G75" s="12" t="inlineStr">
        <is>
          <t>HC-SR501 PIR motion
$1.5</t>
        </is>
      </c>
      <c r="H75" s="12" t="inlineStr">
        <is>
          <t>HC-SR501 PIR motion
$1.5</t>
        </is>
      </c>
      <c r="I75" s="12" t="inlineStr">
        <is>
          <t>HC-SR501 PIR motion
$1.5</t>
        </is>
      </c>
    </row>
    <row r="76" ht="32" customHeight="1">
      <c r="A76" s="73" t="inlineStr">
        <is>
          <t>Security &amp; safety</t>
        </is>
      </c>
      <c r="B76" s="74" t="inlineStr">
        <is>
          <t>Did glass break?</t>
        </is>
      </c>
      <c r="C76" s="29" t="n">
        <v>1</v>
      </c>
      <c r="D76" s="12" t="inlineStr">
        <is>
          <t>INMP441 I2S MEMS mic
$3</t>
        </is>
      </c>
      <c r="E76" s="12" t="inlineStr">
        <is>
          <t>INMP441 I2S MEMS mic
$3</t>
        </is>
      </c>
      <c r="F76" s="12" t="inlineStr">
        <is>
          <t>INMP441 I2S MEMS mic
$3</t>
        </is>
      </c>
      <c r="G76" s="12" t="inlineStr">
        <is>
          <t>—</t>
        </is>
      </c>
      <c r="H76" s="12" t="inlineStr">
        <is>
          <t>INMP441 I2S MEMS mic
$3</t>
        </is>
      </c>
      <c r="I76" s="12" t="inlineStr">
        <is>
          <t>INMP441 I2S MEMS mic
$3</t>
        </is>
      </c>
    </row>
    <row r="77" ht="32" customHeight="1">
      <c r="A77" s="73" t="inlineStr">
        <is>
          <t>Security &amp; safety</t>
        </is>
      </c>
      <c r="B77" s="74" t="inlineStr">
        <is>
          <t>Is there a flame?</t>
        </is>
      </c>
      <c r="C77" s="29" t="n">
        <v>2</v>
      </c>
      <c r="D77" s="12" t="inlineStr">
        <is>
          <t>MAX31855 thermocouple amp
$15</t>
        </is>
      </c>
      <c r="E77" s="12" t="inlineStr">
        <is>
          <t>MAX31855 thermocouple amp
$15</t>
        </is>
      </c>
      <c r="F77" s="12" t="inlineStr">
        <is>
          <t>PMS5003 particulate
$15</t>
        </is>
      </c>
      <c r="G77" s="12" t="inlineStr">
        <is>
          <t>MAX31855 thermocouple amp
$15</t>
        </is>
      </c>
      <c r="H77" s="12" t="inlineStr">
        <is>
          <t>MAX31855 thermocouple amp
$15</t>
        </is>
      </c>
      <c r="I77" s="12" t="inlineStr">
        <is>
          <t>MAX31855 thermocouple amp
$15</t>
        </is>
      </c>
    </row>
    <row r="78" ht="32" customHeight="1">
      <c r="A78" s="73" t="inlineStr">
        <is>
          <t>Security &amp; safety</t>
        </is>
      </c>
      <c r="B78" s="74" t="inlineStr">
        <is>
          <t>Did something sound wrong?</t>
        </is>
      </c>
      <c r="C78" s="29" t="n">
        <v>3</v>
      </c>
      <c r="D78" s="12" t="inlineStr">
        <is>
          <t>Piezo contact mic / disc
$0.5</t>
        </is>
      </c>
      <c r="E78" s="12" t="inlineStr">
        <is>
          <t>INMP441 I2S MEMS mic
$3</t>
        </is>
      </c>
      <c r="F78" s="12" t="inlineStr">
        <is>
          <t>INMP441 I2S MEMS mic
$3</t>
        </is>
      </c>
      <c r="G78" s="12" t="inlineStr">
        <is>
          <t>Piezo contact mic / disc
$0.5</t>
        </is>
      </c>
      <c r="H78" s="12" t="inlineStr">
        <is>
          <t>Piezo contact mic / disc
$0.5</t>
        </is>
      </c>
      <c r="I78" s="12" t="inlineStr">
        <is>
          <t>ADXL345 accelerometer
$3</t>
        </is>
      </c>
    </row>
    <row r="79" ht="32" customHeight="1">
      <c r="A79" s="73" t="inlineStr">
        <is>
          <t>Security &amp; safety</t>
        </is>
      </c>
      <c r="B79" s="74" t="inlineStr">
        <is>
          <t>Was the hob left on with nobody there?</t>
        </is>
      </c>
      <c r="C79" s="29" t="n">
        <v>2</v>
      </c>
      <c r="D79" s="12" t="inlineStr">
        <is>
          <t>MLX90614 IR thermometer
$8</t>
        </is>
      </c>
      <c r="E79" s="12" t="inlineStr">
        <is>
          <t>Grid-EYE AMG8833 thermal array
$35</t>
        </is>
      </c>
      <c r="F79" s="12" t="inlineStr">
        <is>
          <t>MLX90614 IR thermometer
$8</t>
        </is>
      </c>
      <c r="G79" s="12" t="inlineStr">
        <is>
          <t>MLX90614 IR thermometer
$8</t>
        </is>
      </c>
      <c r="H79" s="12" t="inlineStr">
        <is>
          <t>MLX90614 IR thermometer
$8</t>
        </is>
      </c>
      <c r="I79" s="12" t="inlineStr">
        <is>
          <t>MLX90614 IR thermometer
$8</t>
        </is>
      </c>
    </row>
    <row r="80" ht="32" customHeight="1">
      <c r="A80" s="73" t="inlineStr">
        <is>
          <t>Navigation &amp; space</t>
        </is>
      </c>
      <c r="B80" s="74" t="inlineStr">
        <is>
          <t>Which way am I pointing?</t>
        </is>
      </c>
      <c r="C80" s="29" t="n">
        <v>1</v>
      </c>
      <c r="D80" s="12" t="inlineStr">
        <is>
          <t>MPU-6050 6-axis IMU
$2</t>
        </is>
      </c>
      <c r="E80" s="12" t="inlineStr">
        <is>
          <t>MPU-6050 6-axis IMU
$2</t>
        </is>
      </c>
      <c r="F80" s="12" t="inlineStr">
        <is>
          <t>—</t>
        </is>
      </c>
      <c r="G80" s="12" t="inlineStr">
        <is>
          <t>MPU-6050 6-axis IMU
$2</t>
        </is>
      </c>
      <c r="H80" s="12" t="inlineStr">
        <is>
          <t>MPU-6050 6-axis IMU
$2</t>
        </is>
      </c>
      <c r="I80" s="12" t="inlineStr">
        <is>
          <t>MPU-6050 6-axis IMU
$2</t>
        </is>
      </c>
    </row>
    <row r="81" ht="32" customHeight="1">
      <c r="A81" s="73" t="inlineStr">
        <is>
          <t>Navigation &amp; space</t>
        </is>
      </c>
      <c r="B81" s="74" t="inlineStr">
        <is>
          <t>How far have I gone?</t>
        </is>
      </c>
      <c r="C81" s="29" t="n">
        <v>1</v>
      </c>
      <c r="D81" s="12" t="inlineStr">
        <is>
          <t>HC-SR04 ultrasonic
$1.5</t>
        </is>
      </c>
      <c r="E81" s="12" t="inlineStr">
        <is>
          <t>HC-SR04 ultrasonic
$1.5</t>
        </is>
      </c>
      <c r="F81" s="12" t="inlineStr">
        <is>
          <t>HC-SR04 ultrasonic
$1.5</t>
        </is>
      </c>
      <c r="G81" s="12" t="inlineStr">
        <is>
          <t>HC-SR04 ultrasonic
$1.5</t>
        </is>
      </c>
      <c r="H81" s="12" t="inlineStr">
        <is>
          <t>HC-SR04 ultrasonic
$1.5</t>
        </is>
      </c>
      <c r="I81" s="12" t="inlineStr">
        <is>
          <t>HC-SR04 ultrasonic
$1.5</t>
        </is>
      </c>
    </row>
    <row r="82" ht="32" customHeight="1">
      <c r="A82" s="73" t="inlineStr">
        <is>
          <t>Navigation &amp; space</t>
        </is>
      </c>
      <c r="B82" s="74" t="inlineStr">
        <is>
          <t>Is this level, and by how much is it off?</t>
        </is>
      </c>
      <c r="C82" s="29" t="n">
        <v>1</v>
      </c>
      <c r="D82" s="12" t="inlineStr">
        <is>
          <t>MPU-6050 6-axis IMU
$2</t>
        </is>
      </c>
      <c r="E82" s="12" t="inlineStr">
        <is>
          <t>MPU-6050 6-axis IMU
$2</t>
        </is>
      </c>
      <c r="F82" s="12" t="inlineStr">
        <is>
          <t>—</t>
        </is>
      </c>
      <c r="G82" s="12" t="inlineStr">
        <is>
          <t>MPU-6050 6-axis IMU
$2</t>
        </is>
      </c>
      <c r="H82" s="12" t="inlineStr">
        <is>
          <t>MPU-6050 6-axis IMU
$2</t>
        </is>
      </c>
      <c r="I82" s="12" t="inlineStr">
        <is>
          <t>MPU-6050 6-axis IMU
$2</t>
        </is>
      </c>
    </row>
    <row r="83" ht="32" customHeight="1">
      <c r="A83" s="73" t="inlineStr">
        <is>
          <t>Navigation &amp; space</t>
        </is>
      </c>
      <c r="B83" s="74" t="inlineStr">
        <is>
          <t>What altitude or floor am I on?</t>
        </is>
      </c>
      <c r="C83" s="29" t="n">
        <v>2</v>
      </c>
      <c r="D83" s="12" t="inlineStr">
        <is>
          <t>BME280 climate combo
$6</t>
        </is>
      </c>
      <c r="E83" s="12" t="inlineStr">
        <is>
          <t>BMP390 precision barometer
$10</t>
        </is>
      </c>
      <c r="F83" s="12" t="inlineStr">
        <is>
          <t>BME280 climate combo
$6</t>
        </is>
      </c>
      <c r="G83" s="12" t="inlineStr">
        <is>
          <t>BME280 climate combo
$6</t>
        </is>
      </c>
      <c r="H83" s="12" t="inlineStr">
        <is>
          <t>BMP390 precision barometer
$10</t>
        </is>
      </c>
      <c r="I83" s="12" t="inlineStr">
        <is>
          <t>BME280 climate combo
$6</t>
        </is>
      </c>
    </row>
    <row r="84" ht="32" customHeight="1">
      <c r="A84" s="73" t="inlineStr">
        <is>
          <t>Navigation &amp; space</t>
        </is>
      </c>
      <c r="B84" s="74" t="inlineStr">
        <is>
          <t>Is there something in the way?</t>
        </is>
      </c>
      <c r="C84" s="29" t="n">
        <v>2</v>
      </c>
      <c r="D84" s="12" t="inlineStr">
        <is>
          <t>HC-SR04 ultrasonic
$1.5</t>
        </is>
      </c>
      <c r="E84" s="12" t="inlineStr">
        <is>
          <t>VL53L0X ToF laser
$5</t>
        </is>
      </c>
      <c r="F84" s="12" t="inlineStr">
        <is>
          <t>HC-SR04 ultrasonic
$1.5</t>
        </is>
      </c>
      <c r="G84" s="12" t="inlineStr">
        <is>
          <t>HC-SR04 ultrasonic
$1.5</t>
        </is>
      </c>
      <c r="H84" s="12" t="inlineStr">
        <is>
          <t>HC-SR04 ultrasonic
$1.5</t>
        </is>
      </c>
      <c r="I84" s="12" t="inlineStr">
        <is>
          <t>HC-SR04 ultrasonic
$1.5</t>
        </is>
      </c>
    </row>
    <row r="85" ht="32" customHeight="1">
      <c r="A85" s="73" t="inlineStr">
        <is>
          <t>Navigation &amp; space</t>
        </is>
      </c>
      <c r="B85" s="74" t="inlineStr">
        <is>
          <t>Am I back at the exact same place?</t>
        </is>
      </c>
      <c r="C85" s="29" t="n">
        <v>1</v>
      </c>
      <c r="D85" s="12" t="inlineStr">
        <is>
          <t>BMP390 precision barometer
$10</t>
        </is>
      </c>
      <c r="E85" s="12" t="inlineStr">
        <is>
          <t>BMP390 precision barometer
$10</t>
        </is>
      </c>
      <c r="F85" s="12" t="inlineStr">
        <is>
          <t>BMP390 precision barometer
$10</t>
        </is>
      </c>
      <c r="G85" s="12" t="inlineStr">
        <is>
          <t>BMP390 precision barometer
$10</t>
        </is>
      </c>
      <c r="H85" s="12" t="inlineStr">
        <is>
          <t>BMP390 precision barometer
$10</t>
        </is>
      </c>
      <c r="I85" s="12" t="inlineStr">
        <is>
          <t>BMP390 precision barometer
$10</t>
        </is>
      </c>
    </row>
    <row r="86" ht="32" customHeight="1">
      <c r="A86" s="73" t="inlineStr">
        <is>
          <t>Materials &amp; chemistry</t>
        </is>
      </c>
      <c r="B86" s="74" t="inlineStr">
        <is>
          <t>How wet is this material?</t>
        </is>
      </c>
      <c r="C86" s="29" t="n">
        <v>1</v>
      </c>
      <c r="D86" s="12" t="inlineStr">
        <is>
          <t>Capacitive soil moisture v2
$2</t>
        </is>
      </c>
      <c r="E86" s="12" t="inlineStr">
        <is>
          <t>Capacitive soil moisture v2
$2</t>
        </is>
      </c>
      <c r="F86" s="12" t="inlineStr">
        <is>
          <t>—</t>
        </is>
      </c>
      <c r="G86" s="12" t="inlineStr">
        <is>
          <t>Capacitive soil moisture v2
$2</t>
        </is>
      </c>
      <c r="H86" s="12" t="inlineStr">
        <is>
          <t>Capacitive soil moisture v2
$2</t>
        </is>
      </c>
      <c r="I86" s="12" t="inlineStr">
        <is>
          <t>Capacitive soil moisture v2
$2</t>
        </is>
      </c>
    </row>
    <row r="87" ht="32" customHeight="1">
      <c r="A87" s="73" t="inlineStr">
        <is>
          <t>Materials &amp; chemistry</t>
        </is>
      </c>
      <c r="B87" s="74" t="inlineStr">
        <is>
          <t>Is this food still good?</t>
        </is>
      </c>
      <c r="C87" s="29" t="n">
        <v>1</v>
      </c>
      <c r="D87" s="12" t="inlineStr">
        <is>
          <t>BME688 gas + climate AI
$15</t>
        </is>
      </c>
      <c r="E87" s="12" t="inlineStr">
        <is>
          <t>BME688 gas + climate AI
$15</t>
        </is>
      </c>
      <c r="F87" s="12" t="inlineStr">
        <is>
          <t>BME688 gas + climate AI
$15</t>
        </is>
      </c>
      <c r="G87" s="12" t="inlineStr">
        <is>
          <t>BME688 gas + climate AI
$15</t>
        </is>
      </c>
      <c r="H87" s="12" t="inlineStr">
        <is>
          <t>BME688 gas + climate AI
$15</t>
        </is>
      </c>
      <c r="I87" s="12" t="inlineStr">
        <is>
          <t>BME688 gas + climate AI
$15</t>
        </is>
      </c>
    </row>
    <row r="88" ht="32" customHeight="1">
      <c r="A88" s="73" t="inlineStr">
        <is>
          <t>Materials &amp; chemistry</t>
        </is>
      </c>
      <c r="B88" s="74" t="inlineStr">
        <is>
          <t>Has the paint, resin or glue finished curing?</t>
        </is>
      </c>
      <c r="C88" s="29" t="n">
        <v>1</v>
      </c>
      <c r="D88" s="12" t="inlineStr">
        <is>
          <t>SHT41 humidity + temp
$6</t>
        </is>
      </c>
      <c r="E88" s="12" t="inlineStr">
        <is>
          <t>SHT41 humidity + temp
$6</t>
        </is>
      </c>
      <c r="F88" s="12" t="inlineStr">
        <is>
          <t>SHT41 humidity + temp
$6</t>
        </is>
      </c>
      <c r="G88" s="12" t="inlineStr">
        <is>
          <t>SHT41 humidity + temp
$6</t>
        </is>
      </c>
      <c r="H88" s="12" t="inlineStr">
        <is>
          <t>SHT41 humidity + temp
$6</t>
        </is>
      </c>
      <c r="I88" s="12" t="inlineStr">
        <is>
          <t>SHT41 humidity + temp
$6</t>
        </is>
      </c>
    </row>
    <row r="90" ht="24" customHeight="1">
      <c r="A90" s="6" t="inlineStr">
        <is>
          <t>WHAT FOOLS EACH APPROACH, AND WHAT IT UNLOCKS</t>
        </is>
      </c>
    </row>
    <row r="91" ht="22" customHeight="1">
      <c r="A91" s="13" t="inlineStr">
        <is>
          <t>Route-level caveats: the failure modes that belong to the METHOD rather than to any one part.</t>
        </is>
      </c>
    </row>
    <row r="92">
      <c r="A92" s="24" t="inlineStr">
        <is>
          <t>You want to know…</t>
        </is>
      </c>
      <c r="B92" s="24" t="inlineStr">
        <is>
          <t>What fools this whole approach</t>
        </is>
      </c>
      <c r="C92" s="24" t="inlineStr">
        <is>
          <t>What it unlocks</t>
        </is>
      </c>
      <c r="D92" s="24" t="inlineStr">
        <is>
          <t>Who pays for it</t>
        </is>
      </c>
      <c r="E92" s="24" t="inlineStr">
        <is>
          <t>col</t>
        </is>
      </c>
      <c r="F92" s="24" t="inlineStr">
        <is>
          <t>col (1)</t>
        </is>
      </c>
      <c r="G92" s="24" t="inlineStr">
        <is>
          <t>col (2)</t>
        </is>
      </c>
      <c r="H92" s="24" t="inlineStr">
        <is>
          <t>col (3)</t>
        </is>
      </c>
      <c r="I92" s="24" t="inlineStr">
        <is>
          <t>col (4)</t>
        </is>
      </c>
    </row>
    <row r="93" ht="34" customHeight="1">
      <c r="A93" s="75" t="inlineStr">
        <is>
          <t>Is anyone here?</t>
        </is>
      </c>
      <c r="B93" s="76" t="inlineStr">
        <is>
          <t>Every cheap route answers a subtly different question. PIR detects CHANGE in infrared, so it goes blind the moment you sit still — the classic 'lights off while I'm reading' failure. CO2 rise is unambiguous but lags by 10-20 minutes. A door sensor tells you someone crossed a threshold, not that they are still inside. mmWave sees breathing but also sees ceiling fans, curtains and rain on glass, and it sees through plasterboard into the next room unless you gate by zone.</t>
        </is>
      </c>
      <c r="E93" s="12" t="inlineStr">
        <is>
          <t>Presence is the keystone signal of every building: it gates lighting, HVAC, security, energy attribution and safety logic. Almost every other automation gets better once presence is reliable.</t>
        </is>
      </c>
      <c r="H93" s="77" t="inlineStr">
        <is>
          <t>Smart home, facilities management, hot-desking, energy retrofits, hospitality</t>
        </is>
      </c>
    </row>
    <row r="94" ht="34" customHeight="1">
      <c r="A94" s="75" t="inlineStr">
        <is>
          <t>Is someone still here, sitting perfectly still?</t>
        </is>
      </c>
      <c r="B94" s="76" t="inlineStr">
        <is>
          <t>This is the question PIR fundamentally cannot answer, and the reason mmWave took over. But radar's sensitivity cuts both ways: at high gain it detects a sleeping person two rooms away through a stud wall. Tune the distance gates before you trust it, and expect to re-tune after you move the furniture.</t>
        </is>
      </c>
      <c r="E94" s="12" t="inlineStr">
        <is>
          <t>Rooms that stop switching the lights off on people who are reading, sleeping or working quietly — the single most-complained-about failure in smart homes.</t>
        </is>
      </c>
      <c r="H94" s="77" t="inlineStr">
        <is>
          <t>Smart home, offices, hotels, care settings</t>
        </is>
      </c>
    </row>
    <row r="95" ht="34" customHeight="1">
      <c r="A95" s="75" t="inlineStr">
        <is>
          <t>How many people are in this space?</t>
        </is>
      </c>
      <c r="B95" s="76" t="inlineStr">
        <is>
          <t>Counting is much harder than detecting. Two people walking abreast through a doorway read as one. A person pausing in the beam double-counts. Thermal blob counting merges people who stand close. Every counting route drifts over hours unless you periodically reset to a known-empty state — a nightly zero at 4am is usually the cheapest fix.</t>
        </is>
      </c>
      <c r="E95" s="12" t="inlineStr">
        <is>
          <t>Occupancy analytics without cameras: demand-controlled ventilation, room booking that reflects reality, retail footfall, and safe-egress counts.</t>
        </is>
      </c>
      <c r="H95" s="77" t="inlineStr">
        <is>
          <t>Retail, museums, facilities, events, building services</t>
        </is>
      </c>
    </row>
    <row r="96" ht="34" customHeight="1">
      <c r="A96" s="75" t="inlineStr">
        <is>
          <t>Did someone fall?</t>
        </is>
      </c>
      <c r="B96" s="76" t="inlineStr">
        <is>
          <t>The hard part is not detecting impact but rejecting everything that looks like it. Sitting down heavily, dropping the device, and a dog jumping on the bed all produce fall-shaped accelerometer signatures. Impact alone is not enough: the reliable pattern is impact FOLLOWED by prolonged stillness at floor level. Wearable routes fail because people don't wear them; radar routes work in bathrooms and at night, which is where falls actually happen.</t>
        </is>
      </c>
      <c r="E96" s="12" t="inlineStr">
        <is>
          <t>Independent living that families can accept. The privacy-safe routes matter enormously here — camera-based fall detection is refused by the people who most need it.</t>
        </is>
      </c>
      <c r="H96" s="77" t="inlineStr">
        <is>
          <t>Elder care, assisted living, insurance, hospital estates</t>
        </is>
      </c>
    </row>
    <row r="97" ht="34" customHeight="1">
      <c r="A97" s="75" t="inlineStr">
        <is>
          <t>Which specific person is this?</t>
        </is>
      </c>
      <c r="B97" s="76" t="inlineStr">
        <is>
          <t>Identity is the point where privacy law arrives. Tags identify the TAG, not the person carrying it. Biometrics identify the person but create sensitive personal data with real obligations. BLE phone presence is convenient and trivially spoofed. Be clear which one your build actually needs — most 'who' problems are really 'is this an authorised somebody' problems, which a tag solves without storing anything personal.</t>
        </is>
      </c>
      <c r="E97" s="12" t="inlineStr">
        <is>
          <t>Per-person automation, tool and machine authorisation, medication adherence, and attribution of energy or resource use.</t>
        </is>
      </c>
      <c r="H97" s="77" t="inlineStr">
        <is>
          <t>Workshops, makerspaces, healthcare, access control, shared facilities</t>
        </is>
      </c>
    </row>
    <row r="98" ht="34" customHeight="1">
      <c r="A98" s="75" t="inlineStr">
        <is>
          <t>Is a bearing starting to fail?</t>
        </is>
      </c>
      <c r="B98" s="76" t="inlineStr">
        <is>
          <t>Absolute vibration numbers are almost meaningless — machines differ, mountings differ, and the same reading means different things on different days. Only the TREND against that machine's own baseline is informative. Sample rate is the other trap: bearing defect frequencies live in the kHz, so a 100Hz accelerometer sees nothing useful no matter how carefully you analyse it. Mounting matters more than the sensor: a magnet mount rolls off above ~2kHz, and double-sided tape is worse.</t>
        </is>
      </c>
      <c r="E98" s="12" t="inlineStr">
        <is>
          <t>Predictive maintenance — replacing parts on evidence rather than on a calendar or after a failure. The economics are unusually favourable: one avoided unplanned stoppage typically pays for instrumenting an entire workshop.</t>
        </is>
      </c>
      <c r="H98" s="77" t="inlineStr">
        <is>
          <t>Manufacturing, facilities, HVAC contractors, makerspaces, agriculture</t>
        </is>
      </c>
    </row>
    <row r="99" ht="34" customHeight="1">
      <c r="A99" s="75" t="inlineStr">
        <is>
          <t>Which appliance just turned on?</t>
        </is>
      </c>
      <c r="B99" s="76" t="inlineStr">
        <is>
          <t>Non-intrusive load monitoring is a genuinely hard, well-studied problem. Devices with similar power draws are near-indistinguishable from aggregate real power alone; the discriminating information is in the switch-on transient and the harmonic signature, which needs high-rate sampling rather than one reading a second. Variable-speed and inverter appliances defeat naive approaches entirely.</t>
        </is>
      </c>
      <c r="E99" s="12" t="inlineStr">
        <is>
          <t>Itemised energy without a smart plug on every device — and, more interestingly, activity inference: which appliance ran, when, tells you about the household's day without any sensor in a room.</t>
        </is>
      </c>
      <c r="H99" s="77" t="inlineStr">
        <is>
          <t>Energy retailers, efficiency programmes, insurers, elder-care monitoring</t>
        </is>
      </c>
    </row>
    <row r="100" ht="34" customHeight="1">
      <c r="A100" s="75" t="inlineStr">
        <is>
          <t>Is this room stuffy — does it need fresh air?</t>
        </is>
      </c>
      <c r="B100" s="76" t="inlineStr">
        <is>
          <t>Use real CO2, not 'eCO2' from a VOC sensor — eCO2 is inferred from unrelated chemistry and will happily report fresh air in a crowded room, or alarm because someone opened a bottle of solvent. Real NDIR and photoacoustic sensors need ambient-pressure compensation, and their automatic self-calibration assumes the room reaches ~400ppm at least weekly. In a continuously occupied space that assumption is false and the sensor slowly, silently under-reads.</t>
        </is>
      </c>
      <c r="E100" s="12" t="inlineStr">
        <is>
          <t>Ventilation you can argue about with evidence. CO2 is also the cleanest proxy for occupancy density and for airborne-infection risk in shared rooms.</t>
        </is>
      </c>
      <c r="H100" s="77" t="inlineStr">
        <is>
          <t>Schools, offices, gyms, venues, landlords, ventilation contractors</t>
        </is>
      </c>
    </row>
    <row r="101" ht="34" customHeight="1">
      <c r="A101" s="75" t="inlineStr">
        <is>
          <t>How polluted is the air right now?</t>
        </is>
      </c>
      <c r="B101" s="76" t="inlineStr">
        <is>
          <t>Optical particle counters measure how much light particles scatter, then convert to mass using an assumed particle density and refractive index. When humidity rises above roughly 75% the particles absorb water and swell, so the sensor over-reads badly — fog and morning dew read like smoke. Always log humidity alongside and correct, or your wildfire alarm will fire on a damp morning.</t>
        </is>
      </c>
      <c r="E101" s="12" t="inlineStr">
        <is>
          <t>Air-quality response that happens before you smell anything: purifiers that pre-empt smoke infiltration, and exposure maps that show which streets to avoid.</t>
        </is>
      </c>
      <c r="H101" s="77" t="inlineStr">
        <is>
          <t>Households in wildfire regions, cyclists, asthma community, citizen science, councils</t>
        </is>
      </c>
    </row>
    <row r="102" ht="34" customHeight="1">
      <c r="A102" s="75" t="inlineStr">
        <is>
          <t>Is water escaping where it shouldn't?</t>
        </is>
      </c>
      <c r="B102" s="76" t="inlineStr">
        <is>
          <t>Point leak sensors only detect water that reaches the exact spot you put them. Flow-based detection catches leaks anywhere but needs a behavioural baseline to distinguish a running toilet from a long shower. The genuinely reliable signal is flow with no occupancy — that combination has almost no false positives.</t>
        </is>
      </c>
      <c r="E102" s="12" t="inlineStr">
        <is>
          <t>Automatic mains shutoff. Water damage is among the most common and most expensive household insurance claims, and this is one of the few sensing projects with an unambiguous financial return.</t>
        </is>
      </c>
      <c r="H102" s="77" t="inlineStr">
        <is>
          <t>Homeowners, landlords, insurers, facilities, holiday properties</t>
        </is>
      </c>
    </row>
    <row r="103" ht="34" customHeight="1">
      <c r="A103" s="75" t="inlineStr">
        <is>
          <t>Does this plant need water?</t>
        </is>
      </c>
      <c r="B103" s="76" t="inlineStr">
        <is>
          <t>Cheap resistive soil probes corrode away within weeks and measure salinity as much as water; use capacitive ones. Even capacitive readings are meaningless across different soils without per-soil calibration, because they respond to dielectric constant, which varies with soil type and compaction. The metric agriculture actually schedules on is soil water TENSION, not water content — how hard roots must pull, rather than how much water is present.</t>
        </is>
      </c>
      <c r="E103" s="12" t="inlineStr">
        <is>
          <t>Irrigation driven by plant need rather than a timer, and — via the decay curve between waterings — a health signal that appears days before wilting.</t>
        </is>
      </c>
      <c r="H103" s="77" t="inlineStr">
        <is>
          <t>Growers, vineyards, orchards, greenhouses, serious gardeners</t>
        </is>
      </c>
    </row>
    <row r="104" ht="34" customHeight="1">
      <c r="A104" s="75" t="inlineStr">
        <is>
          <t>Is it idle, loaded, or jammed?</t>
        </is>
      </c>
      <c r="B104" s="76" t="inlineStr">
        <is>
          <t>'Is it on' is easy; 'what is it doing' is where the value is, and a single threshold cannot express it. Current draw distinguishes idle from loaded from stalled, but only after you have recorded what normal looks like for that specific machine. Soft starters and variable-frequency drives flatten the signatures that make this work.</t>
        </is>
      </c>
      <c r="E104" s="12" t="inlineStr">
        <is>
          <t>Utilisation data that justifies (or refuses) capital purchases, jam detection that prevents damage, and the raw material for predictive maintenance.</t>
        </is>
      </c>
      <c r="H104" s="77" t="inlineStr">
        <is>
          <t>Manufacturing, makerspaces, workshops, laundries, agriculture</t>
        </is>
      </c>
    </row>
    <row r="105" ht="34" customHeight="1">
      <c r="A105" s="75" t="inlineStr">
        <is>
          <t>Is a storm coming?</t>
        </is>
      </c>
      <c r="B105" s="76" t="inlineStr">
        <is>
          <t>Lightning detectors are notorious for false triggers: switching power supplies, fluorescent lamps, motor brushes and nearby electronics all produce impulses that look like a distant strike. Antenna tuning and noise-floor calibration are not optional, and the distance estimate is a statistical inference from signal energy, not a measurement — it is meaningfully wrong for individual strikes.</t>
        </is>
      </c>
      <c r="E105" s="12" t="inlineStr">
        <is>
          <t>Automatic protection with real financial value: retracting awnings, closing windows, unplugging equipment, and clearing pools and sports fields.</t>
        </is>
      </c>
      <c r="H105" s="77" t="inlineStr">
        <is>
          <t>Homeowners, sports facilities, marinas, agriculture, outdoor events</t>
        </is>
      </c>
    </row>
    <row r="106" ht="34" customHeight="1">
      <c r="A106" s="75" t="inlineStr">
        <is>
          <t>Will there be frost tonight?</t>
        </is>
      </c>
      <c r="B106" s="76" t="inlineStr">
        <is>
          <t>Air temperature is the wrong signal — ground frost forms while the air is still several degrees above zero, because surfaces radiate heat to a clear sky and cool below air temperature. The informative measurement is sky temperature via an infrared thermometer pointed upward: a very cold sky reading means clear skies and strong radiative cooling. Cloud cover changes the answer completely.</t>
        </is>
      </c>
      <c r="E106" s="12" t="inlineStr">
        <is>
          <t>Frost warnings hours earlier and more locally than any forecast, which is the difference between covering the tomatoes and losing them.</t>
        </is>
      </c>
      <c r="H106" s="77" t="inlineStr">
        <is>
          <t>Gardeners, vineyards, orchards, nurseries, growers</t>
        </is>
      </c>
    </row>
    <row r="107" ht="34" customHeight="1">
      <c r="A107" s="75" t="inlineStr">
        <is>
          <t>How much is left, and how long until it runs out?</t>
        </is>
      </c>
      <c r="B107" s="76" t="inlineStr">
        <is>
          <t>Weight is the honest measure and almost nobody uses it. Load cells creep under sustained load and drift with temperature, so a scale left under a gas bottle for months needs periodic re-zeroing. Tare state must survive reboots or your readings become nonsense after a power cut.</t>
        </is>
      </c>
      <c r="E107" s="12" t="inlineStr">
        <is>
          <t>'Days remaining' rather than 'it's empty' — for gas bottles, filament, coffee, animal feed, brewing gas and reagents. Weight-over-time is one of the most underused household and workshop signals there is.</t>
        </is>
      </c>
      <c r="H107" s="77" t="inlineStr">
        <is>
          <t>Households, workshops, makerspaces, hospitality, small farms</t>
        </is>
      </c>
    </row>
    <row r="108" ht="34" customHeight="1">
      <c r="A108" s="75" t="inlineStr">
        <is>
          <t>How much is in the tank?</t>
        </is>
      </c>
      <c r="B108" s="76" t="inlineStr">
        <is>
          <t>Every route has a characteristic failure. Ultrasonic has a blind zone near the sensor (typically 20-25cm) and is fooled by foam, steam and condensation on the transducer. Pressure-based depth needs a vent to atmosphere or it tracks the weather instead of the water. Capacitive through-wall sensors are defeated by residue and scale on the inside of the tank wall.</t>
        </is>
      </c>
      <c r="E108" s="12" t="inlineStr">
        <is>
          <t>Rainwater harvesting that pre-drains before a storm, dry-run pump protection, and any reservoir that should never run empty or overflow.</t>
        </is>
      </c>
      <c r="H108" s="77" t="inlineStr">
        <is>
          <t>Rainwater harvesting, agriculture, marine and RV, hydroponics, industry</t>
        </is>
      </c>
    </row>
    <row r="109" ht="34" customHeight="1">
      <c r="A109" s="75" t="inlineStr">
        <is>
          <t>How much radiation is here?</t>
        </is>
      </c>
      <c r="B109" s="76" t="inlineStr">
        <is>
          <t>Radiation counting is statistical: short samples are inherently noisy, and a reading that doubles for one minute usually means nothing. Background varies with altitude, geology and even weather (rain washes down radon daughters and briefly raises readings). A Geiger tube tells you THAT something is radioactive; only spectroscopy tells you WHAT.</t>
        </is>
      </c>
      <c r="E109" s="12" t="inlineStr">
        <is>
          <t>A whole category of visible-invisible projects, plus genuine utility in identifying uranium glaze, thorium mantles and radon accumulation.</t>
        </is>
      </c>
      <c r="H109" s="77" t="inlineStr">
        <is>
          <t>Educators, museums, rockhounds, science communicators, radon remediation</t>
        </is>
      </c>
    </row>
    <row r="110" ht="34" customHeight="1">
      <c r="A110" s="75" t="inlineStr">
        <is>
          <t>Is something moving on the other side of that wall?</t>
        </is>
      </c>
      <c r="B110" s="76" t="inlineStr">
        <is>
          <t>This is the least mature route in the document and it deserves scepticism. Wi-Fi channel-state sensing works impressively in a controlled demonstration and degrades sharply with furniture changes, new devices joining the network, and anything moving outside the room. Treat published accuracy figures as an upper bound obtained under favourable conditions.</t>
        </is>
      </c>
      <c r="E110" s="12" t="inlineStr">
        <is>
          <t>Presence sensing with no sensor in the room at all — the endgame of invisible instrumentation, if it can be made robust.</t>
        </is>
      </c>
      <c r="H110" s="77" t="inlineStr">
        <is>
          <t>Research, security, elder care, smart buildings</t>
        </is>
      </c>
    </row>
    <row r="111" ht="34" customHeight="1">
      <c r="A111" s="75" t="inlineStr">
        <is>
          <t>What is the beehive doing?</t>
        </is>
      </c>
      <c r="B111" s="76" t="inlineStr">
        <is>
          <t>No single hive signal is interpretable alone. Weight rises with nectar flow but falls with foraging departures, so a daily rhythm is normal and only the trend matters. Acoustic signatures shift with temperature and time of day as much as with colony state. Opening the hive to verify changes the thing you are measuring.</t>
        </is>
      </c>
      <c r="E111" s="12" t="inlineStr">
        <is>
          <t>Swarm prediction, nectar-flow timing, and overwinter survival monitoring without disturbing the colony — a rare case where the sensing is genuinely kinder than the manual alternative.</t>
        </is>
      </c>
      <c r="H111" s="77" t="inlineStr">
        <is>
          <t>Beekeepers, apiaries, agricultural research, conservation</t>
        </is>
      </c>
    </row>
    <row r="112" ht="34" customHeight="1">
      <c r="A112" s="75" t="inlineStr">
        <is>
          <t>Is there a flammable gas leak?</t>
        </is>
      </c>
      <c r="B112" s="76" t="inlineStr">
        <is>
          <t>This is the inference where hobby sensing must know its limits. Cheap metal-oxide gas sensors are broadly cross-sensitive, drift substantially over months, need days of burn-in, and are heated elements — which makes them an ignition source, and therefore unsuitable for siting inside any volume where flammable gas can accumulate. They are useful for TRENDS in ventilated spaces.</t>
        </is>
      </c>
      <c r="E112" s="12" t="inlineStr">
        <is>
          <t>Awareness and data — early warning of a slowly failing regulator, or a map of how gas migrates through a building.</t>
        </is>
      </c>
      <c r="H112" s="77" t="inlineStr">
        <is>
          <t>Only ever alongside certified detection. A certified alarm is the safety device; your build is the logger that sits next to it.</t>
        </is>
      </c>
    </row>
    <row r="113" ht="34" customHeight="1">
      <c r="A113" s="75" t="inlineStr">
        <is>
          <t>Which radioactive isotope is this?</t>
        </is>
      </c>
      <c r="B113" s="76" t="inlineStr">
        <is>
          <t>Energy resolution is everything and it is hard-won: temperature stability of the photodetector, light coupling to the crystal, and careful pulse shaping all matter more than raw counts. Cheap setups produce broad peaks that cannot separate nearby isotopes. Calibrate against known sources before believing any identification.</t>
        </is>
      </c>
      <c r="E113" s="12" t="inlineStr">
        <is>
          <t>Turning 'this is radioactive' into 'this is thorium-232' — a qualitative leap that makes mineral identification, ceramic testing and fallout archaeology possible.</t>
        </is>
      </c>
      <c r="H113" s="77" t="inlineStr">
        <is>
          <t>Physics education, museums, mineral collectors, science communication</t>
        </is>
      </c>
    </row>
    <row r="114" ht="34" customHeight="1">
      <c r="A114" s="75" t="inlineStr">
        <is>
          <t>What is the nutrient status of this soil?</t>
        </is>
      </c>
      <c r="B114" s="76" t="inlineStr">
        <is>
          <t>Be sceptical of cheap 'NPK' probes. They measure bulk electrical conductivity and infer nutrient content from it, which is not the same thing — conductivity responds to salinity, moisture and temperature as much as to nitrogen. Treat the numbers as relative trends within one plot, never as a substitute for a laboratory soil test.</t>
        </is>
      </c>
      <c r="E114" s="12" t="inlineStr">
        <is>
          <t>Fertiliser applied where and when it is needed, and a record of how a plot changes across seasons.</t>
        </is>
      </c>
      <c r="H114" s="77" t="inlineStr">
        <is>
          <t>Growers, community gardens, agricultural education, smallholders</t>
        </is>
      </c>
    </row>
    <row r="115" ht="34" customHeight="1">
      <c r="A115" s="75" t="inlineStr">
        <is>
          <t>How fast are vehicles going past?</t>
        </is>
      </c>
      <c r="B115" s="76" t="inlineStr">
        <is>
          <t>Two-point timing is only as good as your clock and your geometry: a small error in the measured baseline propagates directly into the speed. Wide vehicles trip sensors at different points than narrow ones. If the data is meant to persuade anyone, document the method and the uncertainty, because the first response will be to question it.</t>
        </is>
      </c>
      <c r="E115" s="12" t="inlineStr">
        <is>
          <t>Evidence. Traffic-calming decisions respond to logged distributions far better than to complaints, and this is one of the few civic projects a resident can credibly run alone.</t>
        </is>
      </c>
      <c r="H115" s="77" t="inlineStr">
        <is>
          <t>Residents' associations, schools, councils, urbanists</t>
        </is>
      </c>
    </row>
    <row r="116" ht="34" customHeight="1">
      <c r="A116" s="75" t="inlineStr">
        <is>
          <t>Is body temperature drifting — fever, ovulation, heat stress?</t>
        </is>
      </c>
      <c r="B116" s="76" t="inlineStr">
        <is>
          <t>Skin temperature is not core temperature and tracks the environment strongly. Trends within one person are informative; absolute values compared between people are not. Non-contact infrared thermometers are heavily affected by distance, angle, emissivity and any airflow across the target.</t>
        </is>
      </c>
      <c r="E116" s="12" t="inlineStr">
        <is>
          <t>Fever onset detection a day early, ovulation-window tracking, and heat-stress warning for outdoor workers and athletes.</t>
        </is>
      </c>
      <c r="H116" s="77" t="inlineStr">
        <is>
          <t>Households, fertility tracking, occupational health, sports</t>
        </is>
      </c>
    </row>
    <row r="117" ht="34" customHeight="1">
      <c r="A117" s="75" t="inlineStr">
        <is>
          <t>How stressed or recovered is this body?</t>
        </is>
      </c>
      <c r="B117" s="76" t="inlineStr">
        <is>
          <t>HRV is exquisitely sensitive to how you measure it. Motion artefacts corrupt optical routes; electrode contact quality dominates electrical ones. Values are not comparable between devices, between measurement windows, or between people — only against your own baseline, measured the same way, at the same time of day.</t>
        </is>
      </c>
      <c r="E117" s="12" t="inlineStr">
        <is>
          <t>A usable proxy for autonomic stress and recovery, which can drive lighting, notifications, training load or breathing feedback.</t>
        </is>
      </c>
      <c r="H117" s="77" t="inlineStr">
        <is>
          <t>Athletes, wellness, occupational health, biofeedback and interactive art</t>
        </is>
      </c>
    </row>
  </sheetData>
  <mergeCells count="79">
    <mergeCell ref="A90:I90"/>
    <mergeCell ref="H113:I113"/>
    <mergeCell ref="E108:G108"/>
    <mergeCell ref="E95:G95"/>
    <mergeCell ref="E104:G104"/>
    <mergeCell ref="A2:I2"/>
    <mergeCell ref="B108:D108"/>
    <mergeCell ref="H94:I94"/>
    <mergeCell ref="H108:I108"/>
    <mergeCell ref="B94:D94"/>
    <mergeCell ref="E106:G106"/>
    <mergeCell ref="H96:I96"/>
    <mergeCell ref="H105:I105"/>
    <mergeCell ref="B96:D96"/>
    <mergeCell ref="B105:D105"/>
    <mergeCell ref="H107:I107"/>
    <mergeCell ref="E107:G107"/>
    <mergeCell ref="B111:D111"/>
    <mergeCell ref="B98:D98"/>
    <mergeCell ref="B107:D107"/>
    <mergeCell ref="H93:I93"/>
    <mergeCell ref="E114:G114"/>
    <mergeCell ref="H102:I102"/>
    <mergeCell ref="H117:I117"/>
    <mergeCell ref="B99:D99"/>
    <mergeCell ref="E94:G94"/>
    <mergeCell ref="A91:I91"/>
    <mergeCell ref="E97:G97"/>
    <mergeCell ref="H109:I109"/>
    <mergeCell ref="E112:G112"/>
    <mergeCell ref="B110:D110"/>
    <mergeCell ref="E109:G109"/>
    <mergeCell ref="E96:G96"/>
    <mergeCell ref="B100:D100"/>
    <mergeCell ref="B109:D109"/>
    <mergeCell ref="H111:I111"/>
    <mergeCell ref="E111:G111"/>
    <mergeCell ref="H95:I95"/>
    <mergeCell ref="E98:G98"/>
    <mergeCell ref="B102:D102"/>
    <mergeCell ref="H104:I104"/>
    <mergeCell ref="H97:I97"/>
    <mergeCell ref="H106:I106"/>
    <mergeCell ref="A3:I3"/>
    <mergeCell ref="E116:G116"/>
    <mergeCell ref="E113:G113"/>
    <mergeCell ref="E100:G100"/>
    <mergeCell ref="H110:I110"/>
    <mergeCell ref="B114:D114"/>
    <mergeCell ref="E115:G115"/>
    <mergeCell ref="H100:I100"/>
    <mergeCell ref="E102:G102"/>
    <mergeCell ref="B113:D113"/>
    <mergeCell ref="B115:D115"/>
    <mergeCell ref="B93:D93"/>
    <mergeCell ref="B117:D117"/>
    <mergeCell ref="H103:I103"/>
    <mergeCell ref="B101:D101"/>
    <mergeCell ref="H112:I112"/>
    <mergeCell ref="B116:D116"/>
    <mergeCell ref="E105:G105"/>
    <mergeCell ref="B103:D103"/>
    <mergeCell ref="E99:G99"/>
    <mergeCell ref="B112:D112"/>
    <mergeCell ref="H114:I114"/>
    <mergeCell ref="E110:G110"/>
    <mergeCell ref="H98:I98"/>
    <mergeCell ref="E101:G101"/>
    <mergeCell ref="B95:D95"/>
    <mergeCell ref="B104:D104"/>
    <mergeCell ref="H115:I115"/>
    <mergeCell ref="E93:G93"/>
    <mergeCell ref="B97:D97"/>
    <mergeCell ref="H99:I99"/>
    <mergeCell ref="B106:D106"/>
    <mergeCell ref="E117:G117"/>
    <mergeCell ref="H101:I101"/>
    <mergeCell ref="H116:I116"/>
    <mergeCell ref="E103:G103"/>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9A6B5A"/>
    <outlinePr summaryBelow="1" summaryRight="1"/>
    <pageSetUpPr/>
  </sheetPr>
  <dimension ref="A1:V20"/>
  <sheetViews>
    <sheetView showGridLines="0" zoomScale="10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6" customWidth="1" min="3" max="3"/>
    <col width="62" customWidth="1" min="4" max="4"/>
    <col width="24" customWidth="1" min="5" max="5"/>
    <col width="40"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1"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CONSTRAINT NAVIGATOR — start from what you CAN'T do</t>
        </is>
      </c>
      <c r="B2" s="4" t="n"/>
      <c r="C2" s="4" t="n"/>
      <c r="D2" s="4" t="n"/>
      <c r="E2" s="4" t="n"/>
      <c r="F2" s="4" t="n"/>
    </row>
    <row r="3" ht="26" customHeight="1">
      <c r="A3" s="5" t="inlineStr">
        <is>
          <t>Constraints generate inventions far more reliably than open brainstorming. Pick the thing blocking you; these are the parts that survive it.</t>
        </is>
      </c>
    </row>
    <row r="4">
      <c r="A4" s="24" t="inlineStr">
        <is>
          <t>Constraint</t>
        </is>
      </c>
      <c r="B4" s="24" t="inlineStr">
        <is>
          <t>How it's satisfied</t>
        </is>
      </c>
      <c r="C4" s="24" t="inlineStr">
        <is>
          <t>#</t>
        </is>
      </c>
      <c r="D4" s="24" t="inlineStr">
        <is>
          <t>Best picks</t>
        </is>
      </c>
      <c r="E4" s="24" t="inlineStr">
        <is>
          <t>Cheapest</t>
        </is>
      </c>
      <c r="F4" s="24" t="inlineStr">
        <is>
          <t>Watch out for</t>
        </is>
      </c>
    </row>
    <row r="5" ht="46" customHeight="1">
      <c r="A5" s="74" t="inlineStr">
        <is>
          <t>I can't touch or contaminate the thing</t>
        </is>
      </c>
      <c r="B5" s="12" t="inlineStr">
        <is>
          <t>contact in {Through-barrier, Standoff, Remote}</t>
        </is>
      </c>
      <c r="C5" s="29" t="n">
        <v>22</v>
      </c>
      <c r="D5" s="12" t="inlineStr">
        <is>
          <t>Photoresistor (LDR) · Reed switch · HC-SR04 ultrasonic · HC-SR501 PIR motion · BH1750 lux sensor · DHT22 / AM2302 · VL53L0X ToF laser · SHT41 humidity + temp · BME280 climate combo · MPR121 12-pad cap touch</t>
        </is>
      </c>
      <c r="E5" s="12" t="inlineStr">
        <is>
          <t>ESP32 native touch pins ($0)</t>
        </is>
      </c>
      <c r="F5" s="12" t="inlineStr"/>
    </row>
    <row r="6" ht="46" customHeight="1">
      <c r="A6" s="74" t="inlineStr">
        <is>
          <t>It's sealed inside something I can't open</t>
        </is>
      </c>
      <c r="B6" s="12" t="inlineStr">
        <is>
          <t>contact == Through-barrier</t>
        </is>
      </c>
      <c r="C6" s="29" t="n">
        <v>5</v>
      </c>
      <c r="D6" s="12" t="inlineStr">
        <is>
          <t>MPR121 12-pad cap touch · ESP32 native touch pins · LD2410 mmWave presence · SDP810 differential pressure · SCT-013 CT clamp</t>
        </is>
      </c>
      <c r="E6" s="12" t="inlineStr">
        <is>
          <t>ESP32 native touch pins ($0)</t>
        </is>
      </c>
      <c r="F6" s="12" t="inlineStr"/>
    </row>
    <row r="7" ht="46" customHeight="1">
      <c r="A7" s="74" t="inlineStr">
        <is>
          <t>There is no mains power and I can't change batteries often</t>
        </is>
      </c>
      <c r="B7" s="12" t="inlineStr">
        <is>
          <t>power_class in {Zero, Nanoamp, Microamp}</t>
        </is>
      </c>
      <c r="C7" s="29" t="n">
        <v>67</v>
      </c>
      <c r="D7" s="12" t="inlineStr">
        <is>
          <t>Photoresistor (LDR) · Reed switch · TTP223 single touch · TMP36 analog temp · HC-SR501 PIR motion · BMP280 budget barometer · AM312 mini PIR · AHT20 temp/humidity · BH1750 lux sensor · ADXL345 accelerometer</t>
        </is>
      </c>
      <c r="E7" s="12" t="inlineStr">
        <is>
          <t>ESP32 native touch pins ($0)</t>
        </is>
      </c>
      <c r="F7" s="12" t="inlineStr">
        <is>
          <t>The µA figure is the sensor alone; the ESP32's radio dominates the budget unless you deep-sleep between readings.</t>
        </is>
      </c>
    </row>
    <row r="8" ht="46" customHeight="1">
      <c r="A8" s="74" t="inlineStr">
        <is>
          <t>It must not capture anything identifiable</t>
        </is>
      </c>
      <c r="B8" s="12" t="inlineStr">
        <is>
          <t>privacy in {None, Aggregate}</t>
        </is>
      </c>
      <c r="C8" s="29" t="n">
        <v>32</v>
      </c>
      <c r="D8" s="12" t="inlineStr">
        <is>
          <t>Photoresistor (LDR) · Reed switch · HC-SR04 ultrasonic · HC-SR501 PIR motion · Capacitive soil moisture v2 · DS18B20 digital temp probe · BH1750 lux sensor · ADXL345 accelerometer · DHT22 / AM2302 · MCP9808 precision temp</t>
        </is>
      </c>
      <c r="E8" s="12" t="inlineStr">
        <is>
          <t>ESP32 native touch pins ($0)</t>
        </is>
      </c>
      <c r="F8" s="12" t="inlineStr">
        <is>
          <t>Radar and thermal beat cameras here, but a fine-enough thermal array or a tracking radar can still be re-identifying in a small space.</t>
        </is>
      </c>
    </row>
    <row r="9" ht="46" customHeight="1">
      <c r="A9" s="74" t="inlineStr">
        <is>
          <t>Nobody should see any hardware</t>
        </is>
      </c>
      <c r="B9" s="12" t="inlineStr">
        <is>
          <t>small, hideable, or sensing through the surface it hides behind</t>
        </is>
      </c>
      <c r="C9" s="29" t="n">
        <v>32</v>
      </c>
      <c r="D9" s="12" t="inlineStr">
        <is>
          <t>Photoresistor (LDR) · Reed switch · HC-SR04 ultrasonic · HC-SR501 PIR motion · Capacitive soil moisture v2 · DS18B20 digital temp probe · BH1750 lux sensor · ADXL345 accelerometer · DHT22 / AM2302 · MCP9808 precision temp</t>
        </is>
      </c>
      <c r="E9" s="12" t="inlineStr">
        <is>
          <t>ESP32 native touch pins ($0)</t>
        </is>
      </c>
      <c r="F9" s="12" t="inlineStr"/>
    </row>
    <row r="10" ht="46" customHeight="1">
      <c r="A10" s="74" t="inlineStr">
        <is>
          <t>It has to work wet or submerged</t>
        </is>
      </c>
      <c r="B10" s="12" t="inlineStr">
        <is>
          <t>environment includes Submersible</t>
        </is>
      </c>
      <c r="C10" s="29" t="n">
        <v>1</v>
      </c>
      <c r="D10" s="12" t="inlineStr">
        <is>
          <t>DS18B20 digital temp probe</t>
        </is>
      </c>
      <c r="E10" s="12" t="inlineStr">
        <is>
          <t>DS18B20 digital temp probe ($2.5)</t>
        </is>
      </c>
      <c r="F10" s="12" t="inlineStr"/>
    </row>
    <row r="11" ht="46" customHeight="1">
      <c r="A11" s="74" t="inlineStr">
        <is>
          <t>It has to survive weather for years</t>
        </is>
      </c>
      <c r="B11" s="12" t="inlineStr">
        <is>
          <t>environment includes Outdoor, with an IP rating</t>
        </is>
      </c>
      <c r="C11" s="29" t="n">
        <v>9</v>
      </c>
      <c r="D11" s="12" t="inlineStr">
        <is>
          <t>Reed switch · Capacitive soil moisture v2 · DS18B20 digital temp probe · YF-S201 flow sensor · SHT41 humidity + temp · BME280 climate combo · MLX90614 IR thermometer · BMP390 precision barometer · PMS5003 particulate</t>
        </is>
      </c>
      <c r="E11" s="12" t="inlineStr">
        <is>
          <t>Reed switch ($0.5)</t>
        </is>
      </c>
      <c r="F11" s="12" t="inlineStr"/>
    </row>
    <row r="12" ht="46" customHeight="1">
      <c r="A12" s="74" t="inlineStr">
        <is>
          <t>Under $5 per node because I need a lot of them</t>
        </is>
      </c>
      <c r="B12" s="12" t="inlineStr">
        <is>
          <t>usd &lt; 5</t>
        </is>
      </c>
      <c r="C12" s="29" t="n">
        <v>62</v>
      </c>
      <c r="D12" s="12" t="inlineStr">
        <is>
          <t>Photoresistor (LDR) · A3144 / SS49E Hall switches · Reed switch · TTP223 single touch · SW-420 vibration switch · KY-040 rotary encoder · KY-037/038 sound modules · Through-beam slot / photo-interrupter · RCWL-0516 doppler radar · TMP36 analog temp</t>
        </is>
      </c>
      <c r="E12" s="12" t="inlineStr">
        <is>
          <t>ESP32 native touch pins ($0)</t>
        </is>
      </c>
      <c r="F12" s="12" t="inlineStr">
        <is>
          <t>Cheap parts are a quality lottery — buy two or three of everything, and expect clone substitutions.</t>
        </is>
      </c>
    </row>
    <row r="13" ht="46" customHeight="1">
      <c r="A13" s="74" t="inlineStr">
        <is>
          <t>I want it working this weekend</t>
        </is>
      </c>
      <c r="B13" s="12" t="inlineStr">
        <is>
          <t>diff &lt;= 2 and maturity in {Excellent, Good}</t>
        </is>
      </c>
      <c r="C13" s="29" t="n">
        <v>31</v>
      </c>
      <c r="D13" s="12" t="inlineStr">
        <is>
          <t>Photoresistor (LDR) · Reed switch · HC-SR04 ultrasonic · HC-SR501 PIR motion · Capacitive soil moisture v2 · DS18B20 digital temp probe · BH1750 lux sensor · ADXL345 accelerometer · DHT22 / AM2302 · MCP9808 precision temp</t>
        </is>
      </c>
      <c r="E13" s="12" t="inlineStr">
        <is>
          <t>ESP32 native touch pins ($0)</t>
        </is>
      </c>
      <c r="F13" s="12" t="inlineStr"/>
    </row>
    <row r="14" ht="46" customHeight="1">
      <c r="A14" s="74" t="inlineStr">
        <is>
          <t>I need high sample rates, not one reading a second</t>
        </is>
      </c>
      <c r="B14" s="12" t="inlineStr">
        <is>
          <t>rate in the kHz range</t>
        </is>
      </c>
      <c r="C14" s="29" t="n">
        <v>5</v>
      </c>
      <c r="D14" s="12" t="inlineStr">
        <is>
          <t>ADXL345 accelerometer · MPU-6050 6-axis IMU · INMP441 I2S MEMS mic · MAX30102 pulse oximeter · SCT-013 CT clamp</t>
        </is>
      </c>
      <c r="E14" s="12" t="inlineStr">
        <is>
          <t>MPU-6050 6-axis IMU ($2)</t>
        </is>
      </c>
      <c r="F14" s="12" t="inlineStr"/>
    </row>
    <row r="15" ht="46" customHeight="1">
      <c r="A15" s="74" t="inlineStr">
        <is>
          <t>It has to fit in something small and wearable</t>
        </is>
      </c>
      <c r="B15" s="12" t="inlineStr">
        <is>
          <t>small package, low pin count, µA power</t>
        </is>
      </c>
      <c r="C15" s="29" t="n">
        <v>20</v>
      </c>
      <c r="D15" s="12" t="inlineStr">
        <is>
          <t>Photoresistor (LDR) · HC-SR501 PIR motion · DS18B20 digital temp probe · BH1750 lux sensor · ADXL345 accelerometer · DHT22 / AM2302 · MCP9808 precision temp · SHT41 humidity + temp · BME280 climate combo · MPR121 12-pad cap touch</t>
        </is>
      </c>
      <c r="E15" s="12" t="inlineStr">
        <is>
          <t>Photoresistor (LDR) ($0.2)</t>
        </is>
      </c>
      <c r="F15" s="12" t="inlineStr"/>
    </row>
    <row r="16" ht="46" customHeight="1">
      <c r="A16" s="74" t="inlineStr">
        <is>
          <t>Dust, vibration, chemicals, temperature extremes</t>
        </is>
      </c>
      <c r="B16" s="12" t="inlineStr">
        <is>
          <t>environment includes Harsh</t>
        </is>
      </c>
      <c r="C16" s="29" t="n">
        <v>5</v>
      </c>
      <c r="D16" s="12" t="inlineStr">
        <is>
          <t>ADXL345 accelerometer · NTC thermistor 10k · Piezo contact mic / disc · MAX31855 thermocouple amp · SDP810 differential pressure</t>
        </is>
      </c>
      <c r="E16" s="12" t="inlineStr">
        <is>
          <t>NTC thermistor 10k ($0.3)</t>
        </is>
      </c>
      <c r="F16" s="12" t="inlineStr"/>
    </row>
    <row r="17" ht="46" customHeight="1">
      <c r="A17" s="74" t="inlineStr">
        <is>
          <t>I can't be recalibrating this forever</t>
        </is>
      </c>
      <c r="B17" s="12" t="inlineStr">
        <is>
          <t>calibration in {None, One-point} and no consumables</t>
        </is>
      </c>
      <c r="C17" s="29" t="n">
        <v>23</v>
      </c>
      <c r="D17" s="12" t="inlineStr">
        <is>
          <t>Reed switch · HC-SR04 ultrasonic · HC-SR501 PIR motion · DS18B20 digital temp probe · BH1750 lux sensor · ADXL345 accelerometer · DHT22 / AM2302 · MCP9808 precision temp · VL53L0X ToF laser · SHT41 humidity + temp</t>
        </is>
      </c>
      <c r="E17" s="12" t="inlineStr">
        <is>
          <t>ESP32 native touch pins ($0)</t>
        </is>
      </c>
      <c r="F17" s="12" t="inlineStr"/>
    </row>
    <row r="18" ht="46" customHeight="1">
      <c r="A18" s="74" t="inlineStr">
        <is>
          <t>Someone's safety depends on it</t>
        </is>
      </c>
      <c r="B18" s="12" t="inlineStr">
        <is>
          <t>certified device required — hobby parts supplement, never replace</t>
        </is>
      </c>
      <c r="C18" s="29" t="n">
        <v>6</v>
      </c>
      <c r="D18" s="12" t="inlineStr">
        <is>
          <t>VL53L0X ToF laser · MQ-2 smoke/LPG gas · MAX31855 thermocouple amp · BME688 gas + climate AI · PMS5003 particulate · SCT-013 CT clamp</t>
        </is>
      </c>
      <c r="E18" s="12" t="inlineStr">
        <is>
          <t>MQ-2 smoke/LPG gas ($2)</t>
        </is>
      </c>
      <c r="F18" s="12" t="inlineStr">
        <is>
          <t>These parts carry declared hazards. Hobby sensors SUPPLEMENT a certified alarm — they never replace one.</t>
        </is>
      </c>
    </row>
    <row r="19" ht="46" customHeight="1">
      <c r="A19" s="74" t="inlineStr">
        <is>
          <t>The thing I'm sensing is far away</t>
        </is>
      </c>
      <c r="B19" s="12" t="inlineStr">
        <is>
          <t>contact == Remote, or a radio link to a local sensor</t>
        </is>
      </c>
      <c r="C19" s="29" t="n">
        <v>0</v>
      </c>
      <c r="D19" s="12" t="inlineStr">
        <is>
          <t>—</t>
        </is>
      </c>
      <c r="E19" s="12" t="inlineStr">
        <is>
          <t>—</t>
        </is>
      </c>
      <c r="F19" s="12" t="inlineStr"/>
    </row>
    <row r="20" ht="46" customHeight="1">
      <c r="A20" s="74" t="inlineStr">
        <is>
          <t>I can't see the target from where the sensor can go</t>
        </is>
      </c>
      <c r="B20" s="12" t="inlineStr">
        <is>
          <t>RF, magnetic, acoustic or vibration paths instead of optical</t>
        </is>
      </c>
      <c r="C20" s="29" t="n">
        <v>11</v>
      </c>
      <c r="D20" s="12" t="inlineStr">
        <is>
          <t>Reed switch · HC-SR04 ultrasonic · ADXL345 accelerometer · YF-S201 flow sensor · BMP390 precision barometer · Piezo contact mic / disc · MPU-6050 6-axis IMU · INMP441 I2S MEMS mic · LD2410 mmWave presence · HX711 + load cell</t>
        </is>
      </c>
      <c r="E20" s="12" t="inlineStr">
        <is>
          <t>Reed switch ($0.5)</t>
        </is>
      </c>
      <c r="F20" s="12" t="inlineStr"/>
    </row>
  </sheetData>
  <mergeCells count="2">
    <mergeCell ref="A3:F3"/>
    <mergeCell ref="A2:F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6E8B74"/>
    <outlinePr summaryBelow="1" summaryRight="1"/>
    <pageSetUpPr/>
  </sheetPr>
  <dimension ref="A1:V35"/>
  <sheetViews>
    <sheetView showGridLines="0" zoomScale="100" workbookViewId="0">
      <selection activeCell="A1" sqref="A1"/>
    </sheetView>
  </sheetViews>
  <sheetFormatPr baseColWidth="8" defaultRowHeight="15"/>
  <cols>
    <col width="26" customWidth="1" min="1" max="1"/>
    <col width="6" customWidth="1" min="2" max="2"/>
    <col width="46" customWidth="1" min="3" max="3"/>
    <col width="46" customWidth="1" min="4" max="4"/>
    <col width="26" customWidth="1" min="5" max="5"/>
    <col width="26" customWidth="1" min="6" max="6"/>
    <col width="15" customWidth="1" min="7" max="7"/>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1"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CATEGORY GUIDE — the families</t>
        </is>
      </c>
      <c r="B2" s="4" t="n"/>
      <c r="C2" s="4" t="n"/>
      <c r="D2" s="4" t="n"/>
      <c r="E2" s="4" t="n"/>
      <c r="F2" s="4" t="n"/>
      <c r="G2" s="4" t="n"/>
    </row>
    <row r="3" ht="26" customHeight="1">
      <c r="A3" s="5" t="inlineStr">
        <is>
          <t>What each family does and when to reach for it. Categories are a primary shelf; cross-cutting lives in Phenomena and Themes.</t>
        </is>
      </c>
    </row>
    <row r="4">
      <c r="A4" s="24" t="inlineStr">
        <is>
          <t>Category</t>
        </is>
      </c>
      <c r="B4" s="24" t="inlineStr">
        <is>
          <t>#</t>
        </is>
      </c>
      <c r="C4" s="24" t="inlineStr">
        <is>
          <t>What this family does</t>
        </is>
      </c>
      <c r="D4" s="24" t="inlineStr">
        <is>
          <t>Reach for it when…</t>
        </is>
      </c>
      <c r="E4" s="24" t="inlineStr">
        <is>
          <t>Cheapest entry</t>
        </is>
      </c>
      <c r="F4" s="24" t="inlineStr">
        <is>
          <t>Deepest cut</t>
        </is>
      </c>
      <c r="G4" s="24" t="inlineStr">
        <is>
          <t>Dominant modality</t>
        </is>
      </c>
    </row>
    <row r="5" ht="34" customHeight="1">
      <c r="A5" s="26" t="inlineStr">
        <is>
          <t>🌡️ Temperature</t>
        </is>
      </c>
      <c r="B5" s="29" t="n">
        <v>10</v>
      </c>
      <c r="C5" s="12" t="inlineStr">
        <is>
          <t>Contact and non-contact temperature, from cryogenic to kiln.</t>
        </is>
      </c>
      <c r="D5" s="12" t="inlineStr">
        <is>
          <t>The universal first signal — almost every system reveals itself through temperature.</t>
        </is>
      </c>
      <c r="E5" s="12" t="inlineStr">
        <is>
          <t>NTC thermistor 10k ($0.3)</t>
        </is>
      </c>
      <c r="F5" s="12" t="inlineStr">
        <is>
          <t>MAX31855 thermocouple amp (lvl 2)</t>
        </is>
      </c>
      <c r="G5" s="27" t="inlineStr">
        <is>
          <t>Thermal</t>
        </is>
      </c>
    </row>
    <row r="6" ht="34" customHeight="1">
      <c r="A6" s="26" t="inlineStr">
        <is>
          <t>💧 Humidity &amp; Moisture</t>
        </is>
      </c>
      <c r="B6" s="29" t="n">
        <v>8</v>
      </c>
      <c r="C6" s="12" t="inlineStr">
        <is>
          <t>Relative humidity, dew point, and moisture in materials.</t>
        </is>
      </c>
      <c r="D6" s="12" t="inlineStr">
        <is>
          <t>Comfort, condensation, mould, drying, curing, and anything that must not get damp.</t>
        </is>
      </c>
      <c r="E6" s="12" t="inlineStr">
        <is>
          <t>AHT20 temp/humidity ($2)</t>
        </is>
      </c>
      <c r="F6" s="12" t="inlineStr">
        <is>
          <t>SHT31 weatherproof probe (lvl 1)</t>
        </is>
      </c>
      <c r="G6" s="33" t="inlineStr">
        <is>
          <t>Chemical</t>
        </is>
      </c>
    </row>
    <row r="7" ht="34" customHeight="1">
      <c r="A7" s="26" t="inlineStr">
        <is>
          <t>⛰️ Pressure &amp; Altitude</t>
        </is>
      </c>
      <c r="B7" s="29" t="n">
        <v>8</v>
      </c>
      <c r="C7" s="12" t="inlineStr">
        <is>
          <t>Absolute, gauge and differential pressure; barometric altitude.</t>
        </is>
      </c>
      <c r="D7" s="12" t="inlineStr">
        <is>
          <t>Height, weather trends, airflow through filters, liquid depth, vacuum, breath.</t>
        </is>
      </c>
      <c r="E7" s="12" t="inlineStr">
        <is>
          <t>BMP280 budget barometer ($1.5)</t>
        </is>
      </c>
      <c r="F7" s="12" t="inlineStr">
        <is>
          <t>SDP810 differential pressure (lvl 2)</t>
        </is>
      </c>
      <c r="G7" s="34" t="inlineStr">
        <is>
          <t>Mechanical</t>
        </is>
      </c>
    </row>
    <row r="8" ht="34" customHeight="1">
      <c r="A8" s="26" t="inlineStr">
        <is>
          <t>☣️ Gas &amp; VOC</t>
        </is>
      </c>
      <c r="B8" s="29" t="n">
        <v>18</v>
      </c>
      <c r="C8" s="12" t="inlineStr">
        <is>
          <t>Chemical sniffing: combustibles, solvents, odours, specific toxics.</t>
        </is>
      </c>
      <c r="D8" s="12" t="inlineStr">
        <is>
          <t>Leaks, smells, off-gassing, combustion quality — when the nose needs numbers.</t>
        </is>
      </c>
      <c r="E8" s="12" t="inlineStr">
        <is>
          <t>MQ-2 smoke/LPG gas ($2)</t>
        </is>
      </c>
      <c r="F8" s="12" t="inlineStr">
        <is>
          <t>Electrochemical gas cells (lvl 4)</t>
        </is>
      </c>
      <c r="G8" s="33" t="inlineStr">
        <is>
          <t>Chemical</t>
        </is>
      </c>
    </row>
    <row r="9" ht="34" customHeight="1">
      <c r="A9" s="26" t="inlineStr">
        <is>
          <t>🫁 CO2</t>
        </is>
      </c>
      <c r="B9" s="29" t="n">
        <v>4</v>
      </c>
      <c r="C9" s="12" t="inlineStr">
        <is>
          <t>True CO2 by NDIR, photoacoustic or thermal conductivity.</t>
        </is>
      </c>
      <c r="D9" s="12" t="inlineStr">
        <is>
          <t>Ventilation truth, greenhouses, fermentation. Never accept an eCO2 estimate for these.</t>
        </is>
      </c>
      <c r="E9" s="12" t="inlineStr">
        <is>
          <t>MH-Z19C budget NDIR CO2 ($18)</t>
        </is>
      </c>
      <c r="F9" s="12" t="inlineStr">
        <is>
          <t>SenseAir S8 CO2 (lvl 2)</t>
        </is>
      </c>
      <c r="G9" s="33" t="inlineStr">
        <is>
          <t>Chemical</t>
        </is>
      </c>
    </row>
    <row r="10" ht="34" customHeight="1">
      <c r="A10" s="26" t="inlineStr">
        <is>
          <t>🌫️ Particulate</t>
        </is>
      </c>
      <c r="B10" s="29" t="n">
        <v>4</v>
      </c>
      <c r="C10" s="12" t="inlineStr">
        <is>
          <t>Laser and optical particle counters: smoke, dust, pollen, pollution.</t>
        </is>
      </c>
      <c r="D10" s="12" t="inlineStr">
        <is>
          <t>Wildfire seasons, kitchens, allergies, purifier control, citizen air networks.</t>
        </is>
      </c>
      <c r="E10" s="12" t="inlineStr">
        <is>
          <t>Ikea VINDRIKTNING hack ($13)</t>
        </is>
      </c>
      <c r="F10" s="12" t="inlineStr">
        <is>
          <t>SPS30 premium PM (lvl 2)</t>
        </is>
      </c>
      <c r="G10" s="35" t="inlineStr">
        <is>
          <t>Optical</t>
        </is>
      </c>
    </row>
    <row r="11" ht="34" customHeight="1">
      <c r="A11" s="26" t="inlineStr">
        <is>
          <t>☀️ Light &amp; UV</t>
        </is>
      </c>
      <c r="B11" s="29" t="n">
        <v>11</v>
      </c>
      <c r="C11" s="12" t="inlineStr">
        <is>
          <t>Illuminance from starlight to sunburn, plus UV dosimetry and flame.</t>
        </is>
      </c>
      <c r="D11" s="12" t="inlineStr">
        <is>
          <t>Circadian work, grow lights, solar exposure, and day/night logic done properly.</t>
        </is>
      </c>
      <c r="E11" s="12" t="inlineStr">
        <is>
          <t>Photoresistor (LDR) ($0.2)</t>
        </is>
      </c>
      <c r="F11" s="12" t="inlineStr">
        <is>
          <t>AS7331 spectral UV (lvl 2)</t>
        </is>
      </c>
      <c r="G11" s="35" t="inlineStr">
        <is>
          <t>Optical</t>
        </is>
      </c>
    </row>
    <row r="12" ht="34" customHeight="1">
      <c r="A12" s="26" t="inlineStr">
        <is>
          <t>🌈 Colour &amp; Spectral</t>
        </is>
      </c>
      <c r="B12" s="29" t="n">
        <v>5</v>
      </c>
      <c r="C12" s="12" t="inlineStr">
        <is>
          <t>RGB through multi-channel spectrometry — colour as chemistry.</t>
        </is>
      </c>
      <c r="D12" s="12" t="inlineStr">
        <is>
          <t>Sorting, colorimetry, ripeness, material ID, light-quality auditing.</t>
        </is>
      </c>
      <c r="E12" s="12" t="inlineStr">
        <is>
          <t>APDS-9960 gesture/color/prox ($6)</t>
        </is>
      </c>
      <c r="F12" s="12" t="inlineStr">
        <is>
          <t>AS7263 NIR spectral (lvl 2)</t>
        </is>
      </c>
      <c r="G12" s="31" t="inlineStr">
        <is>
          <t>—</t>
        </is>
      </c>
    </row>
    <row r="13" ht="34" customHeight="1">
      <c r="A13" s="26" t="inlineStr">
        <is>
          <t>📏 Distance &amp; Ranging</t>
        </is>
      </c>
      <c r="B13" s="29" t="n">
        <v>12</v>
      </c>
      <c r="C13" s="12" t="inlineStr">
        <is>
          <t>Ultrasonic, IR, laser ToF and LiDAR, from 1mm to 40m.</t>
        </is>
      </c>
      <c r="D13" s="12" t="inlineStr">
        <is>
          <t>Levels, navigation, counting, gesture — distance is the most versatile primitive there is.</t>
        </is>
      </c>
      <c r="E13" s="12" t="inlineStr">
        <is>
          <t>HC-SR04 ultrasonic ($1.5)</t>
        </is>
      </c>
      <c r="F13" s="12" t="inlineStr">
        <is>
          <t>RPLIDAR / LD19 scanning LiDAR (lvl 4)</t>
        </is>
      </c>
      <c r="G13" s="36" t="inlineStr">
        <is>
          <t>Acoustic</t>
        </is>
      </c>
    </row>
    <row r="14" ht="34" customHeight="1">
      <c r="A14" s="26" t="inlineStr">
        <is>
          <t>👤 Presence &amp; Occupancy</t>
        </is>
      </c>
      <c r="B14" s="29" t="n">
        <v>11</v>
      </c>
      <c r="C14" s="12" t="inlineStr">
        <is>
          <t>PIR, mmWave radar, thermopile arrays — is someone (still) there?</t>
        </is>
      </c>
      <c r="D14" s="12" t="inlineStr">
        <is>
          <t>The smart-building keystone. mmWave changed everything: stillness is now visible.</t>
        </is>
      </c>
      <c r="E14" s="12" t="inlineStr">
        <is>
          <t>RCWL-0516 doppler radar ($1.2)</t>
        </is>
      </c>
      <c r="F14" s="12" t="inlineStr">
        <is>
          <t>Time-of-flight gesture radar 60GHz (lvl 5)</t>
        </is>
      </c>
      <c r="G14" s="27" t="inlineStr">
        <is>
          <t>Thermal</t>
        </is>
      </c>
    </row>
    <row r="15" ht="34" customHeight="1">
      <c r="A15" s="26" t="inlineStr">
        <is>
          <t>🌀 Motion &amp; Vibration</t>
        </is>
      </c>
      <c r="B15" s="29" t="n">
        <v>17</v>
      </c>
      <c r="C15" s="12" t="inlineStr">
        <is>
          <t>Accelerometers, gyros, IMUs, seismic and impact sensing.</t>
        </is>
      </c>
      <c r="D15" s="12" t="inlineStr">
        <is>
          <t>Anything that moves, shakes, tilts, falls, swings — and every machine that is wearing out.</t>
        </is>
      </c>
      <c r="E15" s="12" t="inlineStr">
        <is>
          <t>SW-420 vibration switch ($1)</t>
        </is>
      </c>
      <c r="F15" s="12" t="inlineStr">
        <is>
          <t>Geophone SM-24 (lvl 4)</t>
        </is>
      </c>
      <c r="G15" s="34" t="inlineStr">
        <is>
          <t>Mechanical</t>
        </is>
      </c>
    </row>
    <row r="16" ht="34" customHeight="1">
      <c r="A16" s="26" t="inlineStr">
        <is>
          <t>🧲 Magnetic &amp; Compass</t>
        </is>
      </c>
      <c r="B16" s="29" t="n">
        <v>6</v>
      </c>
      <c r="C16" s="12" t="inlineStr">
        <is>
          <t>Heading, magnet tracking, Hall switches, field anomalies.</t>
        </is>
      </c>
      <c r="D16" s="12" t="inlineStr">
        <is>
          <t>Contactless position through walls and plastic, RPM, door state, hidden-wire finding.</t>
        </is>
      </c>
      <c r="E16" s="12" t="inlineStr">
        <is>
          <t>A3144 / SS49E Hall switches ($0.4)</t>
        </is>
      </c>
      <c r="F16" s="12" t="inlineStr">
        <is>
          <t>MLX90393 wide-range 3D mag (lvl 2)</t>
        </is>
      </c>
      <c r="G16" s="38" t="inlineStr">
        <is>
          <t>Magnetic</t>
        </is>
      </c>
    </row>
    <row r="17" ht="34" customHeight="1">
      <c r="A17" s="26" t="inlineStr">
        <is>
          <t>🎤 Sound &amp; Audio</t>
        </is>
      </c>
      <c r="B17" s="29" t="n">
        <v>9</v>
      </c>
      <c r="C17" s="12" t="inlineStr">
        <is>
          <t>MEMS mics, contact pickups, SPL meters, hydrophones, ultrasound.</t>
        </is>
      </c>
      <c r="D17" s="12" t="inlineStr">
        <is>
          <t>Voice, events, machine hums, and the entire acoustic world above and below hearing.</t>
        </is>
      </c>
      <c r="E17" s="12" t="inlineStr">
        <is>
          <t>Piezo contact mic / disc ($0.5)</t>
        </is>
      </c>
      <c r="F17" s="12" t="inlineStr">
        <is>
          <t>Ultrasonic mic experiments (lvl 4)</t>
        </is>
      </c>
      <c r="G17" s="36" t="inlineStr">
        <is>
          <t>Acoustic</t>
        </is>
      </c>
    </row>
    <row r="18" ht="34" customHeight="1">
      <c r="A18" s="26" t="inlineStr">
        <is>
          <t>⚖️ Force &amp; Weight</t>
        </is>
      </c>
      <c r="B18" s="29" t="n">
        <v>7</v>
      </c>
      <c r="C18" s="12" t="inlineStr">
        <is>
          <t>Load cells, strain gauges, FSRs, torque and pressure mapping.</t>
        </is>
      </c>
      <c r="D18" s="12" t="inlineStr">
        <is>
          <t>Depletion tracking, occupancy, grip, structural load. Weight-over-time is underrated telemetry.</t>
        </is>
      </c>
      <c r="E18" s="12" t="inlineStr">
        <is>
          <t>Strain gauge + amp ($4)</t>
        </is>
      </c>
      <c r="F18" s="12" t="inlineStr">
        <is>
          <t>Velostat pressure sheets (lvl 4)</t>
        </is>
      </c>
      <c r="G18" s="34" t="inlineStr">
        <is>
          <t>Mechanical</t>
        </is>
      </c>
    </row>
    <row r="19" ht="34" customHeight="1">
      <c r="A19" s="26" t="inlineStr">
        <is>
          <t>👆 Touch &amp; Capacitive</t>
        </is>
      </c>
      <c r="B19" s="29" t="n">
        <v>5</v>
      </c>
      <c r="C19" s="12" t="inlineStr">
        <is>
          <t>Touch on anything conductive — including ten free ESP32 pins.</t>
        </is>
      </c>
      <c r="D19" s="12" t="inlineStr">
        <is>
          <t>Invisible buttons, sealed controls, liquid level through walls, fruit pianos.</t>
        </is>
      </c>
      <c r="E19" s="12" t="inlineStr">
        <is>
          <t>ESP32 native touch pins ($0)</t>
        </is>
      </c>
      <c r="F19" s="12" t="inlineStr">
        <is>
          <t>Trill flexible touch sliders (lvl 2)</t>
        </is>
      </c>
      <c r="G19" s="40" t="inlineStr">
        <is>
          <t>Electrical</t>
        </is>
      </c>
    </row>
    <row r="20" ht="34" customHeight="1">
      <c r="A20" s="26" t="inlineStr">
        <is>
          <t>🪢 Flex &amp; Stretch</t>
        </is>
      </c>
      <c r="B20" s="29" t="n">
        <v>3</v>
      </c>
      <c r="C20" s="12" t="inlineStr">
        <is>
          <t>Bend, elongation and soft deformation.</t>
        </is>
      </c>
      <c r="D20" s="12" t="inlineStr">
        <is>
          <t>Gloves, breathing bands, posture, soft robots — anything compliant that moves.</t>
        </is>
      </c>
      <c r="E20" s="12" t="inlineStr">
        <is>
          <t>Flex sensor 2.2" ($8)</t>
        </is>
      </c>
      <c r="F20" s="12" t="inlineStr">
        <is>
          <t>Bend Labs digital flex (1-axis) (lvl 2)</t>
        </is>
      </c>
      <c r="G20" s="31" t="inlineStr">
        <is>
          <t>—</t>
        </is>
      </c>
    </row>
    <row r="21" ht="34" customHeight="1">
      <c r="A21" s="26" t="inlineStr">
        <is>
          <t>❤️ Biometric &amp; Health</t>
        </is>
      </c>
      <c r="B21" s="29" t="n">
        <v>10</v>
      </c>
      <c r="C21" s="12" t="inlineStr">
        <is>
          <t>Pulse, SpO2, ECG, EMG, EDA, respiration, body temperature.</t>
        </is>
      </c>
      <c r="D21" s="12" t="inlineStr">
        <is>
          <t>Wearables, biofeedback, accessibility interfaces, quantified recovery.</t>
        </is>
      </c>
      <c r="E21" s="12" t="inlineStr">
        <is>
          <t>Thermistor airflow (nasal) kit ($3)</t>
        </is>
      </c>
      <c r="F21" s="12" t="inlineStr">
        <is>
          <t>BioAmp EXG Pill (lvl 4)</t>
        </is>
      </c>
      <c r="G21" s="41" t="inlineStr">
        <is>
          <t>Biological</t>
        </is>
      </c>
    </row>
    <row r="22" ht="34" customHeight="1">
      <c r="A22" s="26" t="inlineStr">
        <is>
          <t>🌦️ Weather &amp; Outdoor</t>
        </is>
      </c>
      <c r="B22" s="29" t="n">
        <v>9</v>
      </c>
      <c r="C22" s="12" t="inlineStr">
        <is>
          <t>Wind, rain, lightning, solar irradiance, snow, leaf wetness.</t>
        </is>
      </c>
      <c r="D22" s="12" t="inlineStr">
        <is>
          <t>Weather stations are the gateway drug — and storm logic genuinely protects property.</t>
        </is>
      </c>
      <c r="E22" s="12" t="inlineStr">
        <is>
          <t>ML8511 / VEML6075 UV outdoor ($6)</t>
        </is>
      </c>
      <c r="F22" s="12" t="inlineStr">
        <is>
          <t>AS3935 lightning detector (lvl 3)</t>
        </is>
      </c>
      <c r="G22" s="31" t="inlineStr">
        <is>
          <t>—</t>
        </is>
      </c>
    </row>
    <row r="23" ht="34" customHeight="1">
      <c r="A23" s="26" t="inlineStr">
        <is>
          <t>🌱 Soil &amp; Agriculture</t>
        </is>
      </c>
      <c r="B23" s="29" t="n">
        <v>6</v>
      </c>
      <c r="C23" s="12" t="inlineStr">
        <is>
          <t>Soil moisture, tension, chemistry and temperature; plant-direct sensing.</t>
        </is>
      </c>
      <c r="D23" s="12" t="inlineStr">
        <is>
          <t>Irrigation truth, planting timing, compost safety, agronomy at domestic scale.</t>
        </is>
      </c>
      <c r="E23" s="12" t="inlineStr">
        <is>
          <t>Capacitive soil moisture v2 ($2)</t>
        </is>
      </c>
      <c r="F23" s="12" t="inlineStr">
        <is>
          <t>Watermark granular-matrix soil water sensor (lvl 4)</t>
        </is>
      </c>
      <c r="G23" s="40" t="inlineStr">
        <is>
          <t>Electrical</t>
        </is>
      </c>
    </row>
    <row r="24" ht="34" customHeight="1">
      <c r="A24" s="26" t="inlineStr">
        <is>
          <t>🌊 Water &amp; Liquid</t>
        </is>
      </c>
      <c r="B24" s="29" t="n">
        <v>14</v>
      </c>
      <c r="C24" s="12" t="inlineStr">
        <is>
          <t>Level, flow, leaks, and pH/EC/DO/ORP chemistry.</t>
        </is>
      </c>
      <c r="D24" s="12" t="inlineStr">
        <is>
          <t>Tanks, pools, aquariums, hydroponics, leak insurance, stream science.</t>
        </is>
      </c>
      <c r="E24" s="12" t="inlineStr">
        <is>
          <t>YF-S201 flow sensor ($5)</t>
        </is>
      </c>
      <c r="F24" s="12" t="inlineStr">
        <is>
          <t>Soil/water nitrate ion-selective (lvl 5)</t>
        </is>
      </c>
      <c r="G24" s="34" t="inlineStr">
        <is>
          <t>Mechanical</t>
        </is>
      </c>
    </row>
    <row r="25" ht="34" customHeight="1">
      <c r="A25" s="26" t="inlineStr">
        <is>
          <t>⚡ Power &amp; Electrical</t>
        </is>
      </c>
      <c r="B25" s="29" t="n">
        <v>9</v>
      </c>
      <c r="C25" s="12" t="inlineStr">
        <is>
          <t>Current, voltage, power, energy, battery state.</t>
        </is>
      </c>
      <c r="D25" s="12" t="inlineStr">
        <is>
          <t>Battery budgets, solar audits, appliance fingerprints, motor stall detection.</t>
        </is>
      </c>
      <c r="E25" s="12" t="inlineStr">
        <is>
          <t>INA219 current/power monitor ($2.5)</t>
        </is>
      </c>
      <c r="F25" s="12" t="inlineStr">
        <is>
          <t>SCT-013 CT clamp (lvl 3)</t>
        </is>
      </c>
      <c r="G25" s="40" t="inlineStr">
        <is>
          <t>Electrical</t>
        </is>
      </c>
    </row>
    <row r="26" ht="34" customHeight="1">
      <c r="A26" s="26" t="inlineStr">
        <is>
          <t>🎛️ Position &amp; Rotation</t>
        </is>
      </c>
      <c r="B26" s="29" t="n">
        <v>9</v>
      </c>
      <c r="C26" s="12" t="inlineStr">
        <is>
          <t>Encoders, absolute angle, tilt, linear travel.</t>
        </is>
      </c>
      <c r="D26" s="12" t="inlineStr">
        <is>
          <t>Knobs, robot joints, machine feedback, anything that rotates or slides.</t>
        </is>
      </c>
      <c r="E26" s="12" t="inlineStr">
        <is>
          <t>KY-040 rotary encoder ($1)</t>
        </is>
      </c>
      <c r="F26" s="12" t="inlineStr">
        <is>
          <t>Inclinometer SCL3300 (lvl 3)</t>
        </is>
      </c>
      <c r="G26" s="31" t="inlineStr">
        <is>
          <t>—</t>
        </is>
      </c>
    </row>
    <row r="27" ht="34" customHeight="1">
      <c r="A27" s="26" t="inlineStr">
        <is>
          <t>🛰️ GNSS &amp; Positioning</t>
        </is>
      </c>
      <c r="B27" s="29" t="n">
        <v>4</v>
      </c>
      <c r="C27" s="12" t="inlineStr">
        <is>
          <t>Metre-class GNSS to centimetre RTK, UWB, and nanosecond time.</t>
        </is>
      </c>
      <c r="D27" s="12" t="inlineStr">
        <is>
          <t>Tracking, geofencing, surveying, robot navigation, distributed time sync.</t>
        </is>
      </c>
      <c r="E27" s="12" t="inlineStr">
        <is>
          <t>NEO-6M GPS ($8)</t>
        </is>
      </c>
      <c r="F27" s="12" t="inlineStr">
        <is>
          <t>ZED-F9P RTK centimetre GNSS (lvl 4)</t>
        </is>
      </c>
      <c r="G27" s="31" t="inlineStr">
        <is>
          <t>—</t>
        </is>
      </c>
    </row>
    <row r="28" ht="34" customHeight="1">
      <c r="A28" s="26" t="inlineStr">
        <is>
          <t>🔥 Thermal Imaging</t>
        </is>
      </c>
      <c r="B28" s="29" t="n">
        <v>4</v>
      </c>
      <c r="C28" s="12" t="inlineStr">
        <is>
          <t>Heat pictures, from 16 to 19,200 thermal pixels.</t>
        </is>
      </c>
      <c r="D28" s="12" t="inlineStr">
        <is>
          <t>Insulation hunting, people counting, equipment hotspots, wildlife at night.</t>
        </is>
      </c>
      <c r="E28" s="12" t="inlineStr">
        <is>
          <t>MLX90640 thermal camera ($45)</t>
        </is>
      </c>
      <c r="F28" s="12" t="inlineStr">
        <is>
          <t>FLIR Lepton 3.5 (lvl 5)</t>
        </is>
      </c>
      <c r="G28" s="31" t="inlineStr">
        <is>
          <t>—</t>
        </is>
      </c>
    </row>
    <row r="29" ht="34" customHeight="1">
      <c r="A29" s="26" t="inlineStr">
        <is>
          <t>📷 Cameras &amp; Vision</t>
        </is>
      </c>
      <c r="B29" s="29" t="n">
        <v>5</v>
      </c>
      <c r="C29" s="12" t="inlineStr">
        <is>
          <t>Image sensors and on-device neural vision modules.</t>
        </is>
      </c>
      <c r="D29" s="12" t="inlineStr">
        <is>
          <t>When the answer needs a picture — or a model watching one for you.</t>
        </is>
      </c>
      <c r="E29" s="12" t="inlineStr">
        <is>
          <t>OV2640 camera (ESP32-CAM) ($8)</t>
        </is>
      </c>
      <c r="F29" s="12" t="inlineStr">
        <is>
          <t>Grove Vision AI v2 (lvl 3)</t>
        </is>
      </c>
      <c r="G29" s="31" t="inlineStr">
        <is>
          <t>—</t>
        </is>
      </c>
    </row>
    <row r="30" ht="34" customHeight="1">
      <c r="A30" s="26" t="inlineStr">
        <is>
          <t>☢️ Radiation &amp; Nuclear</t>
        </is>
      </c>
      <c r="B30" s="29" t="n">
        <v>4</v>
      </c>
      <c r="C30" s="12" t="inlineStr">
        <is>
          <t>Ionising radiation: GM tubes, scintillators, SiPM, radon.</t>
        </is>
      </c>
      <c r="D30" s="12" t="inlineStr">
        <is>
          <t>Dose rates, isotope identification, radon health, cosmic-ray physics.</t>
        </is>
      </c>
      <c r="E30" s="12" t="inlineStr">
        <is>
          <t>Geiger counter kit ($25)</t>
        </is>
      </c>
      <c r="F30" s="12" t="inlineStr">
        <is>
          <t>Scintillating gamma spectrometer (lvl 5)</t>
        </is>
      </c>
      <c r="G30" s="31" t="inlineStr">
        <is>
          <t>—</t>
        </is>
      </c>
    </row>
    <row r="31" ht="34" customHeight="1">
      <c r="A31" s="26" t="inlineStr">
        <is>
          <t>📡 RF &amp; Electromagnetic</t>
        </is>
      </c>
      <c r="B31" s="29" t="n">
        <v>2</v>
      </c>
      <c r="C31" s="12" t="inlineStr">
        <is>
          <t>Radio sensing: sub-GHz, RF power, EMF, channel state.</t>
        </is>
      </c>
      <c r="D31" s="12" t="inlineStr">
        <is>
          <t>Reading the invisible radio environment — and the devices already broadcasting in it.</t>
        </is>
      </c>
      <c r="E31" s="12" t="inlineStr">
        <is>
          <t>SI4432/CC1101 sub-GHz sniffer ($4)</t>
        </is>
      </c>
      <c r="F31" s="12" t="inlineStr">
        <is>
          <t>SI4432/CC1101 sub-GHz sniffer (lvl 4)</t>
        </is>
      </c>
      <c r="G31" s="31" t="inlineStr">
        <is>
          <t>—</t>
        </is>
      </c>
    </row>
    <row r="32" ht="34" customHeight="1">
      <c r="A32" s="26" t="inlineStr">
        <is>
          <t>🪪 Identity &amp; Tags</t>
        </is>
      </c>
      <c r="B32" s="29" t="n">
        <v>4</v>
      </c>
      <c r="C32" s="12" t="inlineStr">
        <is>
          <t>RFID, NFC and biometric identification.</t>
        </is>
      </c>
      <c r="D32" s="12" t="inlineStr">
        <is>
          <t>Tangible interfaces, access control, inventory, tap-to-configure UX.</t>
        </is>
      </c>
      <c r="E32" s="12" t="inlineStr">
        <is>
          <t>RC522 RFID reader ($2)</t>
        </is>
      </c>
      <c r="F32" s="12" t="inlineStr">
        <is>
          <t>Fingerprint reader R503 (lvl 2)</t>
        </is>
      </c>
      <c r="G32" s="31" t="inlineStr">
        <is>
          <t>—</t>
        </is>
      </c>
    </row>
    <row r="33" ht="34" customHeight="1">
      <c r="A33" s="26" t="inlineStr">
        <is>
          <t>🏭 Industrial &amp; Automotive</t>
        </is>
      </c>
      <c r="B33" s="29" t="n">
        <v>7</v>
      </c>
      <c r="C33" s="12" t="inlineStr">
        <is>
          <t>Sealed, threaded, 24V-world sensing: 4-20mA, Modbus, CAN.</t>
        </is>
      </c>
      <c r="D33" s="12" t="inlineStr">
        <is>
          <t>When hobby breakouts die: conveyors, vehicles, plant rooms, outdoors forever.</t>
        </is>
      </c>
      <c r="E33" s="12" t="inlineStr">
        <is>
          <t>Through-beam slot / photo-interrupter ($1)</t>
        </is>
      </c>
      <c r="F33" s="12" t="inlineStr">
        <is>
          <t>Narrowband O2 sensor (HEGO) (lvl 4)</t>
        </is>
      </c>
      <c r="G33" s="31" t="inlineStr">
        <is>
          <t>—</t>
        </is>
      </c>
    </row>
    <row r="34" ht="34" customHeight="1">
      <c r="A34" s="26" t="inlineStr">
        <is>
          <t>🧵 Materials &amp; Textiles</t>
        </is>
      </c>
      <c r="B34" s="29" t="n">
        <v>3</v>
      </c>
      <c r="C34" s="12" t="inlineStr">
        <is>
          <t>Sewn, printed and material-embedded sensing.</t>
        </is>
      </c>
      <c r="D34" s="12" t="inlineStr">
        <is>
          <t>Garments, plush interfaces, surfaces-as-sensors, colour-change chemistry.</t>
        </is>
      </c>
      <c r="E34" s="12" t="inlineStr">
        <is>
          <t>Frustration-free moisture: plant leaf clip ($5)</t>
        </is>
      </c>
      <c r="F34" s="12" t="inlineStr">
        <is>
          <t>Color-changing material readers (lvl 3)</t>
        </is>
      </c>
      <c r="G34" s="31" t="inlineStr">
        <is>
          <t>—</t>
        </is>
      </c>
    </row>
    <row r="35" ht="34" customHeight="1">
      <c r="A35" s="26" t="inlineStr">
        <is>
          <t>🚀 Frontier Sensing</t>
        </is>
      </c>
      <c r="B35" s="29" t="n">
        <v>10</v>
      </c>
      <c r="C35" s="12" t="inlineStr">
        <is>
          <t>Not commercially packaged — you build and validate it yourself.</t>
        </is>
      </c>
      <c r="D35" s="12" t="inlineStr">
        <is>
          <t>Wi-Fi CSI, e-nose arrays, acoustic emission, muon detection, atmospheric electricity.</t>
        </is>
      </c>
      <c r="E35" s="12" t="inlineStr">
        <is>
          <t>Wi-Fi CSI sensing (the router IS the sensor) ($0)</t>
        </is>
      </c>
      <c r="F35" s="12" t="inlineStr">
        <is>
          <t>Scent delivery + e-nose loop (lvl 5)</t>
        </is>
      </c>
      <c r="G35" s="31" t="inlineStr">
        <is>
          <t>—</t>
        </is>
      </c>
    </row>
  </sheetData>
  <mergeCells count="2">
    <mergeCell ref="A3:G3"/>
    <mergeCell ref="A2:G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B07AA0"/>
    <outlinePr summaryBelow="1" summaryRight="1"/>
    <pageSetUpPr/>
  </sheetPr>
  <dimension ref="A1:V20"/>
  <sheetViews>
    <sheetView showGridLines="0" zoomScale="100" workbookViewId="0">
      <selection activeCell="A1" sqref="A1"/>
    </sheetView>
  </sheetViews>
  <sheetFormatPr baseColWidth="8" defaultRowHeight="15"/>
  <cols>
    <col width="15" customWidth="1" min="1" max="1"/>
    <col width="42" customWidth="1" min="2" max="2"/>
    <col width="38" customWidth="1" min="3" max="3"/>
    <col width="6" customWidth="1" min="4" max="4"/>
    <col width="40" customWidth="1" min="5" max="5"/>
    <col width="52"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1"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INVENTION THEMES — territories, framed as questions</t>
        </is>
      </c>
      <c r="B2" s="4" t="n"/>
      <c r="C2" s="4" t="n"/>
      <c r="D2" s="4" t="n"/>
      <c r="E2" s="4" t="n"/>
      <c r="F2" s="4" t="n"/>
    </row>
    <row r="3" ht="26" customHeight="1">
      <c r="A3" s="5" t="inlineStr">
        <is>
          <t>Themes cut ACROSS categories on purpose. Pick the question that itches, then filter the catalog's Themes column.</t>
        </is>
      </c>
    </row>
    <row r="4">
      <c r="A4" s="24" t="inlineStr">
        <is>
          <t>Theme</t>
        </is>
      </c>
      <c r="B4" s="24" t="inlineStr">
        <is>
          <t>Territory</t>
        </is>
      </c>
      <c r="C4" s="24" t="inlineStr">
        <is>
          <t>The question it asks</t>
        </is>
      </c>
      <c r="D4" s="24" t="inlineStr">
        <is>
          <t>#</t>
        </is>
      </c>
      <c r="E4" s="24" t="inlineStr">
        <is>
          <t>Star parts</t>
        </is>
      </c>
      <c r="F4" s="24" t="inlineStr">
        <is>
          <t>Example inventions</t>
        </is>
      </c>
    </row>
    <row r="5" ht="42" customHeight="1">
      <c r="A5" s="78" t="inlineStr">
        <is>
          <t>Home</t>
        </is>
      </c>
      <c r="B5" s="12" t="inlineStr">
        <is>
          <t>Living Spaces — Rooms that notice, adapt and quietly help.</t>
        </is>
      </c>
      <c r="C5" s="79" t="inlineStr">
        <is>
          <t>What would this room do if it could feel?</t>
        </is>
      </c>
      <c r="D5" s="29" t="n">
        <v>111</v>
      </c>
      <c r="E5" s="12" t="inlineStr">
        <is>
          <t>LD2410 mmWave · SCD41 · VL53L1X · reed switches · CT clamps</t>
        </is>
      </c>
      <c r="F5" s="12" t="inlineStr">
        <is>
          <t>Rooms that breathe · lights that know you're reading · doors that report</t>
        </is>
      </c>
    </row>
    <row r="6" ht="42" customHeight="1">
      <c r="A6" s="78" t="inlineStr">
        <is>
          <t>Health</t>
        </is>
      </c>
      <c r="B6" s="12" t="inlineStr">
        <is>
          <t>Body &amp; Health — Vitals, movement, stress, recovery, accessibility.</t>
        </is>
      </c>
      <c r="C6" s="79" t="inlineStr">
        <is>
          <t>What is my body saying that I can't hear?</t>
        </is>
      </c>
      <c r="D6" s="29" t="n">
        <v>65</v>
      </c>
      <c r="E6" s="12" t="inlineStr">
        <is>
          <t>MAX30102 · AD8232 · MyoWare · MLX90632 · respiration radar</t>
        </is>
      </c>
      <c r="F6" s="12" t="inlineStr">
        <is>
          <t>Contactless sleep labs · tremor-aware utensils · blink-controlled switches</t>
        </is>
      </c>
    </row>
    <row r="7" ht="42" customHeight="1">
      <c r="A7" s="78" t="inlineStr">
        <is>
          <t>Wild</t>
        </is>
      </c>
      <c r="B7" s="12" t="inlineStr">
        <is>
          <t>Outdoors &amp; Earth — Weather, wildlife, rivers, sky, quakes.</t>
        </is>
      </c>
      <c r="C7" s="79" t="inlineStr">
        <is>
          <t>What is happening out there when nobody is watching?</t>
        </is>
      </c>
      <c r="D7" s="29" t="n">
        <v>59</v>
      </c>
      <c r="E7" s="12" t="inlineStr">
        <is>
          <t>AS3935 · SPS30 · geophone · TSL2591 · snow LiDAR</t>
        </is>
      </c>
      <c r="F7" s="12" t="inlineStr">
        <is>
          <t>Lightning-triggered cameras · bat census stations · seismic meshes</t>
        </is>
      </c>
    </row>
    <row r="8" ht="42" customHeight="1">
      <c r="A8" s="78" t="inlineStr">
        <is>
          <t>Grow</t>
        </is>
      </c>
      <c r="B8" s="12" t="inlineStr">
        <is>
          <t>Food &amp; Plants — Soil, leaf, climate, harvest — closing the loop.</t>
        </is>
      </c>
      <c r="C8" s="79" t="inlineStr">
        <is>
          <t>What does this plant actually want right now?</t>
        </is>
      </c>
      <c r="D8" s="29" t="n">
        <v>42</v>
      </c>
      <c r="E8" s="12" t="inlineStr">
        <is>
          <t>Capacitive soil · SCD30 · Watermark · leaf clip · pH/EC</t>
        </is>
      </c>
      <c r="F8" s="12" t="inlineStr">
        <is>
          <t>Hydroponic autopilots · mildew-hour predictors · beehive scales</t>
        </is>
      </c>
    </row>
    <row r="9" ht="42" customHeight="1">
      <c r="A9" s="78" t="inlineStr">
        <is>
          <t>Water</t>
        </is>
      </c>
      <c r="B9" s="12" t="inlineStr">
        <is>
          <t>Water Worlds — Levels, flows, chemistry, leaks.</t>
        </is>
      </c>
      <c r="C9" s="79" t="inlineStr">
        <is>
          <t>Where is water going, and what is it carrying?</t>
        </is>
      </c>
      <c r="D9" s="29" t="n">
        <v>33</v>
      </c>
      <c r="E9" s="12" t="inlineStr">
        <is>
          <t>pH/EC/DO probes · flow meters · eTape · leak rope</t>
        </is>
      </c>
      <c r="F9" s="12" t="inlineStr">
        <is>
          <t>Self-dosing pools · flood early-warning · whole-house leak brains</t>
        </is>
      </c>
    </row>
    <row r="10" ht="42" customHeight="1">
      <c r="A10" s="78" t="inlineStr">
        <is>
          <t>Air</t>
        </is>
      </c>
      <c r="B10" s="12" t="inlineStr">
        <is>
          <t>Air &amp; Breath — The invisible stuff you inhale 20,000 times a day.</t>
        </is>
      </c>
      <c r="C10" s="79" t="inlineStr">
        <is>
          <t>What's in this breath?</t>
        </is>
      </c>
      <c r="D10" s="29" t="n">
        <v>28</v>
      </c>
      <c r="E10" s="12" t="inlineStr">
        <is>
          <t>SCD41 · PMS5003 · SGP41 · BME690 · electrochemical cells</t>
        </is>
      </c>
      <c r="F10" s="12" t="inlineStr">
        <is>
          <t>CO2 honesty lights · pre-emptive purifiers · exposure badges</t>
        </is>
      </c>
    </row>
    <row r="11" ht="42" customHeight="1">
      <c r="A11" s="78" t="inlineStr">
        <is>
          <t>Energy</t>
        </is>
      </c>
      <c r="B11" s="12" t="inlineStr">
        <is>
          <t>Power &amp; Energy — Watts, joules, batteries, solar — made visible.</t>
        </is>
      </c>
      <c r="C11" s="79" t="inlineStr">
        <is>
          <t>Where does the energy actually go?</t>
        </is>
      </c>
      <c r="D11" s="29" t="n">
        <v>31</v>
      </c>
      <c r="E11" s="12" t="inlineStr">
        <is>
          <t>INA228 · SCT-013 · PZEM-004T · pyranometer · fuel gauges</t>
        </is>
      </c>
      <c r="F11" s="12" t="inlineStr">
        <is>
          <t>Appliance fingerprinting · solar truth meters · phantom-load hunters</t>
        </is>
      </c>
    </row>
    <row r="12" ht="42" customHeight="1">
      <c r="A12" s="78" t="inlineStr">
        <is>
          <t>Safety</t>
        </is>
      </c>
      <c r="B12" s="12" t="inlineStr">
        <is>
          <t>Guardians — The bad day: fire, gas, leaks, falls, intrusion.</t>
        </is>
      </c>
      <c r="C12" s="79" t="inlineStr">
        <is>
          <t>What failure would hurt most, and what is its earliest signal?</t>
        </is>
      </c>
      <c r="D12" s="29" t="n">
        <v>56</v>
      </c>
      <c r="E12" s="12" t="inlineStr">
        <is>
          <t>Certified gas alarms · flame detectors · leak rope · fall radar</t>
        </is>
      </c>
      <c r="F12" s="12" t="inlineStr">
        <is>
          <t>Stove sentinels · hay-fire lances · CO migration mappers</t>
        </is>
      </c>
    </row>
    <row r="13" ht="42" customHeight="1">
      <c r="A13" s="78" t="inlineStr">
        <is>
          <t>MachineHealth</t>
        </is>
      </c>
      <c r="B13" s="12" t="inlineStr">
        <is>
          <t>Machine Whisperer — Hearing machines age before they fail.</t>
        </is>
      </c>
      <c r="C13" s="79" t="inlineStr">
        <is>
          <t>What is this machine trying to tell me before it breaks?</t>
        </is>
      </c>
      <c r="D13" s="29" t="n">
        <v>54</v>
      </c>
      <c r="E13" s="12" t="inlineStr">
        <is>
          <t>KX132 FFT · ACS712 · IR thermometers · acoustic emission</t>
        </is>
      </c>
      <c r="F13" s="12" t="inlineStr">
        <is>
          <t>Bearing prognosis · compressed-air leak audits · tool-state dashboards</t>
        </is>
      </c>
    </row>
    <row r="14" ht="42" customHeight="1">
      <c r="A14" s="78" t="inlineStr">
        <is>
          <t>Robots</t>
        </is>
      </c>
      <c r="B14" s="12" t="inlineStr">
        <is>
          <t>Robots &amp; Vehicles — Perception for things that move themselves.</t>
        </is>
      </c>
      <c r="C14" s="79" t="inlineStr">
        <is>
          <t>What does my machine need to sense in order to act alone?</t>
        </is>
      </c>
      <c r="D14" s="29" t="n">
        <v>22</v>
      </c>
      <c r="E14" s="12" t="inlineStr">
        <is>
          <t>LiDAR · encoders · IMU · RTK GNSS · UWB · ToF arrays</t>
        </is>
      </c>
      <c r="F14" s="12" t="inlineStr">
        <is>
          <t>RTK mowers · echolocation belts · teach-and-replay arms</t>
        </is>
      </c>
    </row>
    <row r="15" ht="42" customHeight="1">
      <c r="A15" s="78" t="inlineStr">
        <is>
          <t>Play</t>
        </is>
      </c>
      <c r="B15" s="12" t="inlineStr">
        <is>
          <t>Play &amp; Art — Instruments, installations, toys, magic tricks with physics.</t>
        </is>
      </c>
      <c r="C15" s="79" t="inlineStr">
        <is>
          <t>What would make someone gasp or grin?</t>
        </is>
      </c>
      <c r="D15" s="29" t="n">
        <v>69</v>
      </c>
      <c r="E15" s="12" t="inlineStr">
        <is>
          <t>Trill · gesture radar · LDR harps · RFID tokens · person sensor</t>
        </is>
      </c>
      <c r="F15" s="12" t="inlineStr">
        <is>
          <t>Laser harps · heartbeat rooms · art that performs only when watched</t>
        </is>
      </c>
    </row>
    <row r="16" ht="42" customHeight="1">
      <c r="A16" s="78" t="inlineStr">
        <is>
          <t>Invisible</t>
        </is>
      </c>
      <c r="B16" s="12" t="inlineStr">
        <is>
          <t>Invisible Worlds — Senses humans were never issued.</t>
        </is>
      </c>
      <c r="C16" s="79" t="inlineStr">
        <is>
          <t>What invisible layer of reality can I make visible?</t>
        </is>
      </c>
      <c r="D16" s="29" t="n">
        <v>29</v>
      </c>
      <c r="E16" s="12" t="inlineStr">
        <is>
          <t>Geiger tubes · Wi-Fi CSI · CC1101 · muon detectors · EMF probes</t>
        </is>
      </c>
      <c r="F16" s="12" t="inlineStr">
        <is>
          <t>Through-wall presence · isotope identifiers · cosmic-ray flight logs</t>
        </is>
      </c>
    </row>
    <row r="17" ht="42" customHeight="1">
      <c r="A17" s="78" t="inlineStr">
        <is>
          <t>Industry</t>
        </is>
      </c>
      <c r="B17" s="12" t="inlineStr">
        <is>
          <t>Work &amp; Industry — The 24V world: plants, workshops, vehicles, trades.</t>
        </is>
      </c>
      <c r="C17" s="79" t="inlineStr">
        <is>
          <t>What would a professional pay to stop guessing about?</t>
        </is>
      </c>
      <c r="D17" s="29" t="n">
        <v>0</v>
      </c>
      <c r="E17" s="12" t="inlineStr">
        <is>
          <t>4-20mA transmitters · Modbus probes · CAN/OBD · inductive prox</t>
        </is>
      </c>
      <c r="F17" s="12" t="inlineStr">
        <is>
          <t>Digital twins of legacy plant · operator interlocks · fleet telemetry</t>
        </is>
      </c>
    </row>
    <row r="18" ht="42" customHeight="1">
      <c r="A18" s="78" t="inlineStr">
        <is>
          <t>Fleet</t>
        </is>
      </c>
      <c r="B18" s="12" t="inlineStr">
        <is>
          <t>Fleets &amp; Maps — One node is a gadget; a hundred is a map.</t>
        </is>
      </c>
      <c r="C18" s="79" t="inlineStr">
        <is>
          <t>What changes when I measure this in a thousand places at once?</t>
        </is>
      </c>
      <c r="D18" s="29" t="n">
        <v>0</v>
      </c>
      <c r="E18" s="12" t="inlineStr">
        <is>
          <t>ESP-NOW meshes · LoRa nodes · cheap duplicated sensors</t>
        </is>
      </c>
      <c r="F18" s="12" t="inlineStr">
        <is>
          <t>Street heat maps · community air networks · building-wide occupancy</t>
        </is>
      </c>
    </row>
    <row r="19" ht="42" customHeight="1">
      <c r="A19" s="78" t="inlineStr">
        <is>
          <t>Time</t>
        </is>
      </c>
      <c r="B19" s="12" t="inlineStr">
        <is>
          <t>Time &amp; Memory — The cheapest superpower: the same sensor, logged.</t>
        </is>
      </c>
      <c r="C19" s="79" t="inlineStr">
        <is>
          <t>What does this look like as a trend rather than a reading?</t>
        </is>
      </c>
      <c r="D19" s="29" t="n">
        <v>0</v>
      </c>
      <c r="E19" s="12" t="inlineStr">
        <is>
          <t>Any sensor + RTC + storage + a baseline</t>
        </is>
      </c>
      <c r="F19" s="12" t="inlineStr">
        <is>
          <t>Depletion curves · anomaly detection · seasonal fingerprints</t>
        </is>
      </c>
    </row>
    <row r="20" ht="42" customHeight="1">
      <c r="A20" s="78" t="inlineStr">
        <is>
          <t>Access</t>
        </is>
      </c>
      <c r="B20" s="12" t="inlineStr">
        <is>
          <t>Identity &amp; Access — Who, and are they allowed?</t>
        </is>
      </c>
      <c r="C20" s="79" t="inlineStr">
        <is>
          <t>Should this thing behave differently depending on who is near it?</t>
        </is>
      </c>
      <c r="D20" s="29" t="n">
        <v>0</v>
      </c>
      <c r="E20" s="12" t="inlineStr">
        <is>
          <t>RFID/NFC · fingerprint · BLE presence · UWB ranging</t>
        </is>
      </c>
      <c r="F20" s="12" t="inlineStr">
        <is>
          <t>Tool interlocks · tangible playlists · tap-to-provision fleets</t>
        </is>
      </c>
    </row>
  </sheetData>
  <mergeCells count="2">
    <mergeCell ref="A3:F3"/>
    <mergeCell ref="A2:F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5E7A8A"/>
    <outlinePr summaryBelow="1" summaryRight="1"/>
    <pageSetUpPr/>
  </sheetPr>
  <dimension ref="A1:V14"/>
  <sheetViews>
    <sheetView showGridLines="0" zoomScale="100" workbookViewId="0">
      <selection activeCell="A1" sqref="A1"/>
    </sheetView>
  </sheetViews>
  <sheetFormatPr baseColWidth="8" defaultRowHeight="15"/>
  <cols>
    <col width="14" customWidth="1" min="1" max="1"/>
    <col width="40" customWidth="1" min="2" max="2"/>
    <col width="6" customWidth="1" min="3" max="3"/>
    <col width="44" customWidth="1" min="4" max="4"/>
    <col width="50" customWidth="1" min="5" max="5"/>
    <col width="48"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1"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MODALITY MAP — by physical principle</t>
        </is>
      </c>
      <c r="B2" s="4" t="n"/>
      <c r="C2" s="4" t="n"/>
      <c r="D2" s="4" t="n"/>
      <c r="E2" s="4" t="n"/>
      <c r="F2" s="4" t="n"/>
    </row>
    <row r="3" ht="26" customHeight="1">
      <c r="A3" s="5" t="inlineStr">
        <is>
          <t>The cross-cut nobody publishes: which slice of physics each part uses. Two sensors sharing a modality usually share failure modes — which is exactly why cross-modality pairs make robust systems.</t>
        </is>
      </c>
    </row>
    <row r="4">
      <c r="A4" s="24" t="inlineStr">
        <is>
          <t>Modality</t>
        </is>
      </c>
      <c r="B4" s="24" t="inlineStr">
        <is>
          <t>What it exploits</t>
        </is>
      </c>
      <c r="C4" s="24" t="inlineStr">
        <is>
          <t>#</t>
        </is>
      </c>
      <c r="D4" s="24" t="inlineStr">
        <is>
          <t>Categories it appears in</t>
        </is>
      </c>
      <c r="E4" s="24" t="inlineStr">
        <is>
          <t>Typical failure mode shared by this family</t>
        </is>
      </c>
      <c r="F4" s="24" t="inlineStr">
        <is>
          <t>Example parts</t>
        </is>
      </c>
    </row>
    <row r="5" ht="40" customHeight="1">
      <c r="A5" s="80" t="inlineStr">
        <is>
          <t>Thermal</t>
        </is>
      </c>
      <c r="B5" s="12" t="inlineStr">
        <is>
          <t>Heat, infrared emission, thermal conduction</t>
        </is>
      </c>
      <c r="C5" s="29" t="n">
        <v>8</v>
      </c>
      <c r="D5" s="12" t="inlineStr">
        <is>
          <t>Presence &amp; Occupancy · Temperature</t>
        </is>
      </c>
      <c r="E5" s="12" t="inlineStr">
        <is>
          <t>Anything else warm in the field of view; slow response; self-heating.</t>
        </is>
      </c>
      <c r="F5" s="12" t="inlineStr">
        <is>
          <t>NTC thermistor 10k · HC-SR501 PIR motion · DS18B20 digital temp probe · MCP9808 precision temp · MLX90614 IR thermometer · TMP117 ultra-precise temp · MAX31855 thermocouple amp · Grid-EYE AMG8833 thermal array</t>
        </is>
      </c>
    </row>
    <row r="6" ht="40" customHeight="1">
      <c r="A6" s="81" t="inlineStr">
        <is>
          <t>Optical</t>
        </is>
      </c>
      <c r="B6" s="12" t="inlineStr">
        <is>
          <t>Visible, UV, IR light — intensity, spectrum, time-of-flight</t>
        </is>
      </c>
      <c r="C6" s="29" t="n">
        <v>4</v>
      </c>
      <c r="D6" s="12" t="inlineStr">
        <is>
          <t>Distance &amp; Ranging · Light &amp; UV · Particulate</t>
        </is>
      </c>
      <c r="E6" s="12" t="inlineStr">
        <is>
          <t>Ambient light, sunlight, dust on the lens, target colour and reflectivity.</t>
        </is>
      </c>
      <c r="F6" s="12" t="inlineStr">
        <is>
          <t>Photoresistor (LDR) · BH1750 lux sensor · VL53L0X ToF laser · PMS5003 particulate</t>
        </is>
      </c>
    </row>
    <row r="7" ht="40" customHeight="1">
      <c r="A7" s="82" t="inlineStr">
        <is>
          <t>Acoustic</t>
        </is>
      </c>
      <c r="B7" s="12" t="inlineStr">
        <is>
          <t>Pressure waves in air, liquid or solids (incl. ultrasound)</t>
        </is>
      </c>
      <c r="C7" s="29" t="n">
        <v>3</v>
      </c>
      <c r="D7" s="12" t="inlineStr">
        <is>
          <t>Distance &amp; Ranging · Sound &amp; Audio</t>
        </is>
      </c>
      <c r="E7" s="12" t="inlineStr">
        <is>
          <t>Background noise, echoes, soft/angled targets, wind, temperature-dependent speed.</t>
        </is>
      </c>
      <c r="F7" s="12" t="inlineStr">
        <is>
          <t>Piezo contact mic / disc · HC-SR04 ultrasonic · INMP441 I2S MEMS mic</t>
        </is>
      </c>
    </row>
    <row r="8" ht="40" customHeight="1">
      <c r="A8" s="83" t="inlineStr">
        <is>
          <t>Mechanical</t>
        </is>
      </c>
      <c r="B8" s="12" t="inlineStr">
        <is>
          <t>Force, strain, displacement, acceleration, rotation, flow</t>
        </is>
      </c>
      <c r="C8" s="29" t="n">
        <v>6</v>
      </c>
      <c r="D8" s="12" t="inlineStr">
        <is>
          <t>Force &amp; Weight · Motion &amp; Vibration · Pressure &amp; Altitude · Water &amp; Liquid</t>
        </is>
      </c>
      <c r="E8" s="12" t="inlineStr">
        <is>
          <t>Temperature drift, creep, mounting resonance, and gravity mixed into the signal.</t>
        </is>
      </c>
      <c r="F8" s="12" t="inlineStr">
        <is>
          <t>MPU-6050 6-axis IMU · ADXL345 accelerometer · HX711 + load cell · YF-S201 flow sensor · BMP390 precision barometer · SDP810 differential pressure</t>
        </is>
      </c>
    </row>
    <row r="9" ht="40" customHeight="1">
      <c r="A9" s="84" t="inlineStr">
        <is>
          <t>Electrical</t>
        </is>
      </c>
      <c r="B9" s="12" t="inlineStr">
        <is>
          <t>Voltage, current, resistance, capacitance, impedance</t>
        </is>
      </c>
      <c r="C9" s="29" t="n">
        <v>4</v>
      </c>
      <c r="D9" s="12" t="inlineStr">
        <is>
          <t>Power &amp; Electrical · Soil &amp; Agriculture · Touch &amp; Capacitive</t>
        </is>
      </c>
      <c r="E9" s="12" t="inlineStr">
        <is>
          <t>Ground loops, mains hum, contact resistance, and cable capacitance.</t>
        </is>
      </c>
      <c r="F9" s="12" t="inlineStr">
        <is>
          <t>ESP32 native touch pins · Capacitive soil moisture v2 · MPR121 12-pad cap touch · SCT-013 CT clamp</t>
        </is>
      </c>
    </row>
    <row r="10" ht="40" customHeight="1">
      <c r="A10" s="85" t="inlineStr">
        <is>
          <t>Chemical</t>
        </is>
      </c>
      <c r="B10" s="12" t="inlineStr">
        <is>
          <t>Gas/ion concentration, redox, chemical reaction products</t>
        </is>
      </c>
      <c r="C10" s="29" t="n">
        <v>6</v>
      </c>
      <c r="D10" s="12" t="inlineStr">
        <is>
          <t>CO2 · Gas &amp; VOC · Humidity &amp; Moisture</t>
        </is>
      </c>
      <c r="E10" s="12" t="inlineStr">
        <is>
          <t>Cross-sensitivity to the wrong gas, humidity, drift, and finite cell life.</t>
        </is>
      </c>
      <c r="F10" s="12" t="inlineStr">
        <is>
          <t>MQ-2 smoke/LPG gas · DHT22 / AM2302 · SHT41 humidity + temp · BME280 climate combo · BME688 gas + climate AI · SCD41 true CO2</t>
        </is>
      </c>
    </row>
    <row r="11" ht="40" customHeight="1">
      <c r="A11" s="86" t="inlineStr">
        <is>
          <t>Magnetic</t>
        </is>
      </c>
      <c r="B11" s="12" t="inlineStr">
        <is>
          <t>Magnetic field strength and direction</t>
        </is>
      </c>
      <c r="C11" s="29" t="n">
        <v>1</v>
      </c>
      <c r="D11" s="12" t="inlineStr">
        <is>
          <t>Magnetic &amp; Compass</t>
        </is>
      </c>
      <c r="E11" s="12" t="inlineStr">
        <is>
          <t>Nearby motors, speakers, steel structure and DC currents warping the field.</t>
        </is>
      </c>
      <c r="F11" s="12" t="inlineStr">
        <is>
          <t>Reed switch</t>
        </is>
      </c>
    </row>
    <row r="12" ht="40" customHeight="1">
      <c r="A12" s="87" t="inlineStr">
        <is>
          <t>RF</t>
        </is>
      </c>
      <c r="B12" s="12" t="inlineStr">
        <is>
          <t>Radio-frequency propagation, backscatter, channel state</t>
        </is>
      </c>
      <c r="C12" s="29" t="n">
        <v>1</v>
      </c>
      <c r="D12" s="12" t="inlineStr">
        <is>
          <t>Presence &amp; Occupancy</t>
        </is>
      </c>
      <c r="E12" s="12" t="inlineStr">
        <is>
          <t>Multipath, interference, absorption by water and bodies, regulatory limits.</t>
        </is>
      </c>
      <c r="F12" s="12" t="inlineStr">
        <is>
          <t>LD2410 mmWave presence</t>
        </is>
      </c>
    </row>
    <row r="13" ht="40" customHeight="1">
      <c r="A13" s="88" t="inlineStr">
        <is>
          <t>Nuclear</t>
        </is>
      </c>
      <c r="B13" s="12" t="inlineStr">
        <is>
          <t>Ionising radiation — alpha, beta, gamma, cosmic</t>
        </is>
      </c>
      <c r="C13" s="29" t="n">
        <v>0</v>
      </c>
      <c r="D13" s="12" t="inlineStr"/>
      <c r="E13" s="12" t="inlineStr">
        <is>
          <t>Counting statistics — short samples are noisy; background varies with altitude.</t>
        </is>
      </c>
      <c r="F13" s="12" t="inlineStr"/>
    </row>
    <row r="14" ht="40" customHeight="1">
      <c r="A14" s="89" t="inlineStr">
        <is>
          <t>Biological</t>
        </is>
      </c>
      <c r="B14" s="12" t="inlineStr">
        <is>
          <t>Biopotentials and physiological signals from living tissue</t>
        </is>
      </c>
      <c r="C14" s="29" t="n">
        <v>1</v>
      </c>
      <c r="D14" s="12" t="inlineStr">
        <is>
          <t>Biometric &amp; Health</t>
        </is>
      </c>
      <c r="E14" s="12" t="inlineStr">
        <is>
          <t>Motion artefacts, electrode contact quality, and huge person-to-person variation.</t>
        </is>
      </c>
      <c r="F14" s="12" t="inlineStr">
        <is>
          <t>MAX30102 pulse oximeter</t>
        </is>
      </c>
    </row>
  </sheetData>
  <mergeCells count="2">
    <mergeCell ref="A3:F3"/>
    <mergeCell ref="A2:F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C25E42"/>
    <outlinePr summaryBelow="1" summaryRight="1"/>
    <pageSetUpPr/>
  </sheetPr>
  <dimension ref="A1:V12"/>
  <sheetViews>
    <sheetView showGridLines="0" zoomScale="100" workbookViewId="0">
      <selection activeCell="A1" sqref="A1"/>
    </sheetView>
  </sheetViews>
  <sheetFormatPr baseColWidth="8" defaultRowHeight="15"/>
  <cols>
    <col width="18" customWidth="1" min="1" max="1"/>
    <col width="42" customWidth="1" min="2" max="2"/>
    <col width="44" customWidth="1" min="3" max="3"/>
    <col width="66" customWidth="1" min="4" max="4"/>
    <col width="40" customWidth="1" min="5" max="5"/>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1"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FUSION GRAMMAR — eight ways to combine sensors</t>
        </is>
      </c>
      <c r="B2" s="4" t="n"/>
      <c r="C2" s="4" t="n"/>
      <c r="D2" s="4" t="n"/>
      <c r="E2" s="4" t="n"/>
    </row>
    <row r="3" ht="26" customHeight="1">
      <c r="A3" s="5" t="inlineStr">
        <is>
          <t>Named, generative patterns. These replace 'here is a big matrix, good luck': each one is a move you can apply to any pair of parts in the catalog.</t>
        </is>
      </c>
    </row>
    <row r="4">
      <c r="A4" s="24" t="inlineStr">
        <is>
          <t>Pattern</t>
        </is>
      </c>
      <c r="B4" s="24" t="inlineStr">
        <is>
          <t>What it does</t>
        </is>
      </c>
      <c r="C4" s="24" t="inlineStr">
        <is>
          <t>Why it works</t>
        </is>
      </c>
      <c r="D4" s="24" t="inlineStr">
        <is>
          <t>Worked example</t>
        </is>
      </c>
      <c r="E4" s="24" t="inlineStr">
        <is>
          <t>Try it on</t>
        </is>
      </c>
    </row>
    <row r="5" ht="62" customHeight="1">
      <c r="A5" s="90" t="inlineStr">
        <is>
          <t>Complementary</t>
        </is>
      </c>
      <c r="B5" s="12" t="inlineStr">
        <is>
          <t>One sensor is fast but forgetful, the other slow but persistent — use both.</t>
        </is>
      </c>
      <c r="C5" s="12" t="inlineStr">
        <is>
          <t>Different sensors fail in different directions; pairing covers both failure modes.</t>
        </is>
      </c>
      <c r="D5" s="12" t="inlineStr">
        <is>
          <t>PIR fires instantly on entry but goes blind when you sit still; mmWave holds presence but reacts slower. Together: instant lights that never strand you in the dark.</t>
        </is>
      </c>
      <c r="E5" s="12" t="inlineStr">
        <is>
          <t>Any fast-but-twitchy sensor + any slow-but-certain one.</t>
        </is>
      </c>
    </row>
    <row r="6" ht="62" customHeight="1">
      <c r="A6" s="90" t="inlineStr">
        <is>
          <t>Cross-validation</t>
        </is>
      </c>
      <c r="B6" s="12" t="inlineStr">
        <is>
          <t>Require two independent modalities to agree before acting.</t>
        </is>
      </c>
      <c r="C6" s="12" t="inlineStr">
        <is>
          <t>Uncorrelated sensors rarely produce the same false positive at the same instant.</t>
        </is>
      </c>
      <c r="D6" s="12" t="inlineStr">
        <is>
          <t>Field testing found PIR alone produced 39 false triggers across 40 real events; requiring an ultrasonic distance confirmation eliminated all of them.</t>
        </is>
      </c>
      <c r="E6" s="12" t="inlineStr">
        <is>
          <t>Any alarm you don't trust yet. Two modalities, both must agree.</t>
        </is>
      </c>
    </row>
    <row r="7" ht="62" customHeight="1">
      <c r="A7" s="90" t="inlineStr">
        <is>
          <t>Compensation</t>
        </is>
      </c>
      <c r="B7" s="12" t="inlineStr">
        <is>
          <t>One sensor corrects a known error in another.</t>
        </is>
      </c>
      <c r="C7" s="12" t="inlineStr">
        <is>
          <t>Most cheap sensors have a documented cross-sensitivity you can measure and subtract.</t>
        </is>
      </c>
      <c r="D7" s="12" t="inlineStr">
        <is>
          <t>Gas and VOC sensors drift with humidity and temperature; optical PM sensors over-read above ~75% RH; ultrasonic ranging shifts with air temperature. Add the cheap sensor that measures the thing corrupting your reading.</t>
        </is>
      </c>
      <c r="E7" s="12" t="inlineStr">
        <is>
          <t>Every gas, PM and ultrasonic sensor you own. Add RH/temperature.</t>
        </is>
      </c>
    </row>
    <row r="8" ht="62" customHeight="1">
      <c r="A8" s="90" t="inlineStr">
        <is>
          <t>Context gating</t>
        </is>
      </c>
      <c r="B8" s="12" t="inlineStr">
        <is>
          <t>Only act when several unrelated conditions are simultaneously true.</t>
        </is>
      </c>
      <c r="C8" s="12" t="inlineStr">
        <is>
          <t>Most false alarms are true readings in the wrong context.</t>
        </is>
      </c>
      <c r="D8" s="12" t="inlineStr">
        <is>
          <t>Turn on the stair lights only if: motion AND dark AND after 22:00 AND nobody already downstairs. Four cheap signals beat one expensive one.</t>
        </is>
      </c>
      <c r="E8" s="12" t="inlineStr">
        <is>
          <t>Any automation that has ever fired at the wrong moment.</t>
        </is>
      </c>
    </row>
    <row r="9" ht="62" customHeight="1">
      <c r="A9" s="90" t="inlineStr">
        <is>
          <t>Differential</t>
        </is>
      </c>
      <c r="B9" s="12" t="inlineStr">
        <is>
          <t>Deploy two identical sensors; the difference between them is the signal.</t>
        </is>
      </c>
      <c r="C9" s="12" t="inlineStr">
        <is>
          <t>Identical parts share identical drift and calibration error, which cancels in the difference.</t>
        </is>
      </c>
      <c r="D9" s="12" t="inlineStr">
        <is>
          <t>Indoor and outdoor BME280s: neither absolute reading matters, but the gradient tells you whether opening the window will actually help. Same trick across a filter, a wall, a heat exchanger, or before/after a water filter.</t>
        </is>
      </c>
      <c r="E9" s="12" t="inlineStr">
        <is>
          <t>Any boundary: window, filter, wall, heat exchanger, inlet vs outlet.</t>
        </is>
      </c>
    </row>
    <row r="10" ht="62" customHeight="1">
      <c r="A10" s="90" t="inlineStr">
        <is>
          <t>Triangulation</t>
        </is>
      </c>
      <c r="B10" s="12" t="inlineStr">
        <is>
          <t>Use N copies of one sensor, spaced apart, to recover position or direction.</t>
        </is>
      </c>
      <c r="C10" s="12" t="inlineStr">
        <is>
          <t>Time or amplitude differences between spaced sensors encode geometry.</t>
        </is>
      </c>
      <c r="D10" s="12" t="inlineStr">
        <is>
          <t>Two ToF zones in a doorway give direction of travel. Three time-synced microphones locate a sound by time-difference-of-arrival. Two ranging strips give vehicle speed.</t>
        </is>
      </c>
      <c r="E10" s="12" t="inlineStr">
        <is>
          <t>Any 'where' or 'which direction' question. Buy the sensor twice.</t>
        </is>
      </c>
    </row>
    <row r="11" ht="62" customHeight="1">
      <c r="A11" s="90" t="inlineStr">
        <is>
          <t>Temporal</t>
        </is>
      </c>
      <c r="B11" s="12" t="inlineStr">
        <is>
          <t>One sensor plus time. Compare against its own history rather than an absolute threshold.</t>
        </is>
      </c>
      <c r="C11" s="12" t="inlineStr">
        <is>
          <t>Baselines make cheap, uncalibrated sensors useful — you stop needing absolute accuracy.</t>
        </is>
      </c>
      <c r="D11" s="12" t="inlineStr">
        <is>
          <t>The cheapest superpower in this document. A $1 vibration sensor whose daily average is creeping upward is a bearing wearing out. Weight-over-time is a depletion curve. Moisture decay rate is a plant's drinking speed and reveals illness before wilting.</t>
        </is>
      </c>
      <c r="E11" s="12" t="inlineStr">
        <is>
          <t>Literally every sensor here. Log it, baseline it, alarm on the deviation.</t>
        </is>
      </c>
    </row>
    <row r="12" ht="62" customHeight="1">
      <c r="A12" s="90" t="inlineStr">
        <is>
          <t>Fleet</t>
        </is>
      </c>
      <c r="B12" s="12" t="inlineStr">
        <is>
          <t>One sensor multiplied across many nodes becomes a map.</t>
        </is>
      </c>
      <c r="C12" s="12" t="inlineStr">
        <is>
          <t>Spatial structure is invisible from a single point and obvious from ten.</t>
        </is>
      </c>
      <c r="D12" s="12" t="inlineStr">
        <is>
          <t>Ten $2 temperature nodes reveal which rooms drift coldest and why. Street-level PM nodes reveal a heat island or a polluting neighbour. ESP-NOW makes the mesh nearly free.</t>
        </is>
      </c>
      <c r="E12" s="12" t="inlineStr">
        <is>
          <t>Any measurement where the spatial pattern is the interesting part.</t>
        </is>
      </c>
    </row>
  </sheetData>
  <mergeCells count="2">
    <mergeCell ref="A2:E2"/>
    <mergeCell ref="A3:E3"/>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C75B39"/>
    <outlinePr summaryBelow="1" summaryRight="1"/>
    <pageSetUpPr/>
  </sheetPr>
  <dimension ref="A1:V112"/>
  <sheetViews>
    <sheetView showGridLines="0" zoomScale="10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1"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SYNERGY MATRIX — where sensing worlds collide</t>
        </is>
      </c>
      <c r="B2" s="4" t="n"/>
      <c r="C2" s="4" t="n"/>
      <c r="D2" s="4" t="n"/>
      <c r="E2" s="4" t="n"/>
      <c r="F2" s="4" t="n"/>
      <c r="G2" s="4" t="n"/>
      <c r="H2" s="4" t="n"/>
      <c r="I2" s="4" t="n"/>
      <c r="J2" s="4" t="n"/>
      <c r="K2" s="4" t="n"/>
      <c r="L2" s="4" t="n"/>
      <c r="M2" s="4" t="n"/>
      <c r="N2" s="4" t="n"/>
      <c r="O2" s="4" t="n"/>
      <c r="P2" s="4" t="n"/>
      <c r="Q2" s="4" t="n"/>
      <c r="R2" s="4" t="n"/>
      <c r="S2" s="4" t="n"/>
      <c r="T2" s="4" t="n"/>
      <c r="U2" s="4" t="n"/>
      <c r="V2" s="4" t="n"/>
    </row>
    <row r="3" ht="26" customHeight="1">
      <c r="A3" s="5" t="inlineStr">
        <is>
          <t>★ = how fertile the crossing is. The richest inventions cross three or more. Every cell's concrete combo is listed below the grid.</t>
        </is>
      </c>
    </row>
    <row r="4" ht="34" customHeight="1">
      <c r="A4" s="91" t="inlineStr">
        <is>
          <t>crosses ↓ →</t>
        </is>
      </c>
      <c r="B4" s="92" t="inlineStr">
        <is>
          <t>CLIMATE</t>
        </is>
      </c>
      <c r="C4" s="92" t="inlineStr">
        <is>
          <t>AIR</t>
        </is>
      </c>
      <c r="D4" s="92" t="inlineStr">
        <is>
          <t>LIGHT+VISION</t>
        </is>
      </c>
      <c r="E4" s="92" t="inlineStr">
        <is>
          <t>SPACE</t>
        </is>
      </c>
      <c r="F4" s="92" t="inlineStr">
        <is>
          <t>MOTION</t>
        </is>
      </c>
      <c r="G4" s="92" t="inlineStr">
        <is>
          <t>SOUND</t>
        </is>
      </c>
      <c r="H4" s="92" t="inlineStr">
        <is>
          <t>TOUCH</t>
        </is>
      </c>
      <c r="I4" s="92" t="inlineStr">
        <is>
          <t>BODY</t>
        </is>
      </c>
      <c r="J4" s="92" t="inlineStr">
        <is>
          <t>WATER</t>
        </is>
      </c>
      <c r="K4" s="92" t="inlineStr">
        <is>
          <t>EARTH</t>
        </is>
      </c>
      <c r="L4" s="92" t="inlineStr">
        <is>
          <t>POWER</t>
        </is>
      </c>
      <c r="M4" s="92" t="inlineStr">
        <is>
          <t>INVISIBLE</t>
        </is>
      </c>
      <c r="N4" s="92" t="inlineStr">
        <is>
          <t>IDENTITY</t>
        </is>
      </c>
      <c r="O4" s="92" t="inlineStr">
        <is>
          <t>INDUSTRIAL</t>
        </is>
      </c>
    </row>
    <row r="5" ht="20" customHeight="1">
      <c r="A5" s="93" t="inlineStr">
        <is>
          <t>CLIMATE</t>
        </is>
      </c>
      <c r="B5" s="94" t="inlineStr">
        <is>
          <t>—</t>
        </is>
      </c>
      <c r="C5" s="95" t="inlineStr">
        <is>
          <t>★★★★★</t>
        </is>
      </c>
      <c r="D5" s="96" t="inlineStr">
        <is>
          <t>★★★★</t>
        </is>
      </c>
      <c r="E5" s="97" t="inlineStr">
        <is>
          <t>★★★</t>
        </is>
      </c>
      <c r="F5" s="97" t="inlineStr">
        <is>
          <t>★★★</t>
        </is>
      </c>
      <c r="G5" s="97" t="inlineStr">
        <is>
          <t>★★★</t>
        </is>
      </c>
      <c r="H5" s="98" t="inlineStr">
        <is>
          <t>★★</t>
        </is>
      </c>
      <c r="I5" s="96" t="inlineStr">
        <is>
          <t>★★★★</t>
        </is>
      </c>
      <c r="J5" s="96" t="inlineStr">
        <is>
          <t>★★★★</t>
        </is>
      </c>
      <c r="K5" s="95" t="inlineStr">
        <is>
          <t>★★★★★</t>
        </is>
      </c>
      <c r="L5" s="96" t="inlineStr">
        <is>
          <t>★★★★</t>
        </is>
      </c>
      <c r="M5" s="96" t="inlineStr">
        <is>
          <t>★★★★</t>
        </is>
      </c>
      <c r="N5" s="97" t="inlineStr">
        <is>
          <t>★★★</t>
        </is>
      </c>
      <c r="O5" s="96" t="inlineStr">
        <is>
          <t>★★★★</t>
        </is>
      </c>
    </row>
    <row r="6" ht="20" customHeight="1">
      <c r="A6" s="93" t="inlineStr">
        <is>
          <t>AIR</t>
        </is>
      </c>
      <c r="B6" s="95" t="inlineStr">
        <is>
          <t>★★★★★</t>
        </is>
      </c>
      <c r="C6" s="94" t="inlineStr">
        <is>
          <t>—</t>
        </is>
      </c>
      <c r="D6" s="97" t="inlineStr">
        <is>
          <t>★★★</t>
        </is>
      </c>
      <c r="E6" s="96" t="inlineStr">
        <is>
          <t>★★★★</t>
        </is>
      </c>
      <c r="F6" s="97" t="inlineStr">
        <is>
          <t>★★★</t>
        </is>
      </c>
      <c r="G6" s="97" t="inlineStr">
        <is>
          <t>★★★</t>
        </is>
      </c>
      <c r="H6" s="98" t="inlineStr">
        <is>
          <t>★★</t>
        </is>
      </c>
      <c r="I6" s="95" t="inlineStr">
        <is>
          <t>★★★★★</t>
        </is>
      </c>
      <c r="J6" s="97" t="inlineStr">
        <is>
          <t>★★★</t>
        </is>
      </c>
      <c r="K6" s="96" t="inlineStr">
        <is>
          <t>★★★★</t>
        </is>
      </c>
      <c r="L6" s="96" t="inlineStr">
        <is>
          <t>★★★★</t>
        </is>
      </c>
      <c r="M6" s="96" t="inlineStr">
        <is>
          <t>★★★★</t>
        </is>
      </c>
      <c r="N6" s="97" t="inlineStr">
        <is>
          <t>★★★</t>
        </is>
      </c>
      <c r="O6" s="95" t="inlineStr">
        <is>
          <t>★★★★★</t>
        </is>
      </c>
    </row>
    <row r="7" ht="20" customHeight="1">
      <c r="A7" s="93" t="inlineStr">
        <is>
          <t>LIGHT+VISION</t>
        </is>
      </c>
      <c r="B7" s="96" t="inlineStr">
        <is>
          <t>★★★★</t>
        </is>
      </c>
      <c r="C7" s="97" t="inlineStr">
        <is>
          <t>★★★</t>
        </is>
      </c>
      <c r="D7" s="94" t="inlineStr">
        <is>
          <t>—</t>
        </is>
      </c>
      <c r="E7" s="96" t="inlineStr">
        <is>
          <t>★★★★</t>
        </is>
      </c>
      <c r="F7" s="96" t="inlineStr">
        <is>
          <t>★★★★</t>
        </is>
      </c>
      <c r="G7" s="96" t="inlineStr">
        <is>
          <t>★★★★</t>
        </is>
      </c>
      <c r="H7" s="97" t="inlineStr">
        <is>
          <t>★★★</t>
        </is>
      </c>
      <c r="I7" s="96" t="inlineStr">
        <is>
          <t>★★★★</t>
        </is>
      </c>
      <c r="J7" s="96" t="inlineStr">
        <is>
          <t>★★★★</t>
        </is>
      </c>
      <c r="K7" s="96" t="inlineStr">
        <is>
          <t>★★★★</t>
        </is>
      </c>
      <c r="L7" s="96" t="inlineStr">
        <is>
          <t>★★★★</t>
        </is>
      </c>
      <c r="M7" s="96" t="inlineStr">
        <is>
          <t>★★★★</t>
        </is>
      </c>
      <c r="N7" s="96" t="inlineStr">
        <is>
          <t>★★★★</t>
        </is>
      </c>
      <c r="O7" s="96" t="inlineStr">
        <is>
          <t>★★★★</t>
        </is>
      </c>
    </row>
    <row r="8" ht="20" customHeight="1">
      <c r="A8" s="93" t="inlineStr">
        <is>
          <t>SPACE</t>
        </is>
      </c>
      <c r="B8" s="97" t="inlineStr">
        <is>
          <t>★★★</t>
        </is>
      </c>
      <c r="C8" s="96" t="inlineStr">
        <is>
          <t>★★★★</t>
        </is>
      </c>
      <c r="D8" s="96" t="inlineStr">
        <is>
          <t>★★★★</t>
        </is>
      </c>
      <c r="E8" s="94" t="inlineStr">
        <is>
          <t>—</t>
        </is>
      </c>
      <c r="F8" s="95" t="inlineStr">
        <is>
          <t>★★★★★</t>
        </is>
      </c>
      <c r="G8" s="96" t="inlineStr">
        <is>
          <t>★★★★</t>
        </is>
      </c>
      <c r="H8" s="97" t="inlineStr">
        <is>
          <t>★★★</t>
        </is>
      </c>
      <c r="I8" s="95" t="inlineStr">
        <is>
          <t>★★★★★</t>
        </is>
      </c>
      <c r="J8" s="96" t="inlineStr">
        <is>
          <t>★★★★</t>
        </is>
      </c>
      <c r="K8" s="96" t="inlineStr">
        <is>
          <t>★★★★</t>
        </is>
      </c>
      <c r="L8" s="97" t="inlineStr">
        <is>
          <t>★★★</t>
        </is>
      </c>
      <c r="M8" s="96" t="inlineStr">
        <is>
          <t>★★★★</t>
        </is>
      </c>
      <c r="N8" s="95" t="inlineStr">
        <is>
          <t>★★★★★</t>
        </is>
      </c>
      <c r="O8" s="96" t="inlineStr">
        <is>
          <t>★★★★</t>
        </is>
      </c>
    </row>
    <row r="9" ht="20" customHeight="1">
      <c r="A9" s="93" t="inlineStr">
        <is>
          <t>MOTION</t>
        </is>
      </c>
      <c r="B9" s="97" t="inlineStr">
        <is>
          <t>★★★</t>
        </is>
      </c>
      <c r="C9" s="97" t="inlineStr">
        <is>
          <t>★★★</t>
        </is>
      </c>
      <c r="D9" s="96" t="inlineStr">
        <is>
          <t>★★★★</t>
        </is>
      </c>
      <c r="E9" s="95" t="inlineStr">
        <is>
          <t>★★★★★</t>
        </is>
      </c>
      <c r="F9" s="94" t="inlineStr">
        <is>
          <t>—</t>
        </is>
      </c>
      <c r="G9" s="95" t="inlineStr">
        <is>
          <t>★★★★★</t>
        </is>
      </c>
      <c r="H9" s="96" t="inlineStr">
        <is>
          <t>★★★★</t>
        </is>
      </c>
      <c r="I9" s="95" t="inlineStr">
        <is>
          <t>★★★★★</t>
        </is>
      </c>
      <c r="J9" s="97" t="inlineStr">
        <is>
          <t>★★★</t>
        </is>
      </c>
      <c r="K9" s="97" t="inlineStr">
        <is>
          <t>★★★</t>
        </is>
      </c>
      <c r="L9" s="96" t="inlineStr">
        <is>
          <t>★★★★</t>
        </is>
      </c>
      <c r="M9" s="97" t="inlineStr">
        <is>
          <t>★★★</t>
        </is>
      </c>
      <c r="N9" s="96" t="inlineStr">
        <is>
          <t>★★★★</t>
        </is>
      </c>
      <c r="O9" s="95" t="inlineStr">
        <is>
          <t>★★★★★</t>
        </is>
      </c>
    </row>
    <row r="10" ht="20" customHeight="1">
      <c r="A10" s="93" t="inlineStr">
        <is>
          <t>SOUND</t>
        </is>
      </c>
      <c r="B10" s="97" t="inlineStr">
        <is>
          <t>★★★</t>
        </is>
      </c>
      <c r="C10" s="97" t="inlineStr">
        <is>
          <t>★★★</t>
        </is>
      </c>
      <c r="D10" s="96" t="inlineStr">
        <is>
          <t>★★★★</t>
        </is>
      </c>
      <c r="E10" s="96" t="inlineStr">
        <is>
          <t>★★★★</t>
        </is>
      </c>
      <c r="F10" s="95" t="inlineStr">
        <is>
          <t>★★★★★</t>
        </is>
      </c>
      <c r="G10" s="94" t="inlineStr">
        <is>
          <t>—</t>
        </is>
      </c>
      <c r="H10" s="96" t="inlineStr">
        <is>
          <t>★★★★</t>
        </is>
      </c>
      <c r="I10" s="96" t="inlineStr">
        <is>
          <t>★★★★</t>
        </is>
      </c>
      <c r="J10" s="97" t="inlineStr">
        <is>
          <t>★★★</t>
        </is>
      </c>
      <c r="K10" s="97" t="inlineStr">
        <is>
          <t>★★★</t>
        </is>
      </c>
      <c r="L10" s="97" t="inlineStr">
        <is>
          <t>★★★</t>
        </is>
      </c>
      <c r="M10" s="96" t="inlineStr">
        <is>
          <t>★★★★</t>
        </is>
      </c>
      <c r="N10" s="98" t="inlineStr">
        <is>
          <t>★★</t>
        </is>
      </c>
      <c r="O10" s="96" t="inlineStr">
        <is>
          <t>★★★★</t>
        </is>
      </c>
    </row>
    <row r="11" ht="20" customHeight="1">
      <c r="A11" s="93" t="inlineStr">
        <is>
          <t>TOUCH</t>
        </is>
      </c>
      <c r="B11" s="98" t="inlineStr">
        <is>
          <t>★★</t>
        </is>
      </c>
      <c r="C11" s="98" t="inlineStr">
        <is>
          <t>★★</t>
        </is>
      </c>
      <c r="D11" s="97" t="inlineStr">
        <is>
          <t>★★★</t>
        </is>
      </c>
      <c r="E11" s="97" t="inlineStr">
        <is>
          <t>★★★</t>
        </is>
      </c>
      <c r="F11" s="96" t="inlineStr">
        <is>
          <t>★★★★</t>
        </is>
      </c>
      <c r="G11" s="96" t="inlineStr">
        <is>
          <t>★★★★</t>
        </is>
      </c>
      <c r="H11" s="94" t="inlineStr">
        <is>
          <t>—</t>
        </is>
      </c>
      <c r="I11" s="96" t="inlineStr">
        <is>
          <t>★★★★</t>
        </is>
      </c>
      <c r="J11" s="96" t="inlineStr">
        <is>
          <t>★★★★</t>
        </is>
      </c>
      <c r="K11" s="98" t="inlineStr">
        <is>
          <t>★★</t>
        </is>
      </c>
      <c r="L11" s="98" t="inlineStr">
        <is>
          <t>★★</t>
        </is>
      </c>
      <c r="M11" s="97" t="inlineStr">
        <is>
          <t>★★★</t>
        </is>
      </c>
      <c r="N11" s="96" t="inlineStr">
        <is>
          <t>★★★★</t>
        </is>
      </c>
      <c r="O11" s="96" t="inlineStr">
        <is>
          <t>★★★★</t>
        </is>
      </c>
    </row>
    <row r="12" ht="20" customHeight="1">
      <c r="A12" s="93" t="inlineStr">
        <is>
          <t>BODY</t>
        </is>
      </c>
      <c r="B12" s="96" t="inlineStr">
        <is>
          <t>★★★★</t>
        </is>
      </c>
      <c r="C12" s="95" t="inlineStr">
        <is>
          <t>★★★★★</t>
        </is>
      </c>
      <c r="D12" s="96" t="inlineStr">
        <is>
          <t>★★★★</t>
        </is>
      </c>
      <c r="E12" s="95" t="inlineStr">
        <is>
          <t>★★★★★</t>
        </is>
      </c>
      <c r="F12" s="95" t="inlineStr">
        <is>
          <t>★★★★★</t>
        </is>
      </c>
      <c r="G12" s="96" t="inlineStr">
        <is>
          <t>★★★★</t>
        </is>
      </c>
      <c r="H12" s="96" t="inlineStr">
        <is>
          <t>★★★★</t>
        </is>
      </c>
      <c r="I12" s="94" t="inlineStr">
        <is>
          <t>—</t>
        </is>
      </c>
      <c r="J12" s="97" t="inlineStr">
        <is>
          <t>★★★</t>
        </is>
      </c>
      <c r="K12" s="98" t="inlineStr">
        <is>
          <t>★★</t>
        </is>
      </c>
      <c r="L12" s="97" t="inlineStr">
        <is>
          <t>★★★</t>
        </is>
      </c>
      <c r="M12" s="97" t="inlineStr">
        <is>
          <t>★★★</t>
        </is>
      </c>
      <c r="N12" s="95" t="inlineStr">
        <is>
          <t>★★★★★</t>
        </is>
      </c>
      <c r="O12" s="96" t="inlineStr">
        <is>
          <t>★★★★</t>
        </is>
      </c>
    </row>
    <row r="13" ht="20" customHeight="1">
      <c r="A13" s="93" t="inlineStr">
        <is>
          <t>WATER</t>
        </is>
      </c>
      <c r="B13" s="96" t="inlineStr">
        <is>
          <t>★★★★</t>
        </is>
      </c>
      <c r="C13" s="97" t="inlineStr">
        <is>
          <t>★★★</t>
        </is>
      </c>
      <c r="D13" s="96" t="inlineStr">
        <is>
          <t>★★★★</t>
        </is>
      </c>
      <c r="E13" s="96" t="inlineStr">
        <is>
          <t>★★★★</t>
        </is>
      </c>
      <c r="F13" s="97" t="inlineStr">
        <is>
          <t>★★★</t>
        </is>
      </c>
      <c r="G13" s="97" t="inlineStr">
        <is>
          <t>★★★</t>
        </is>
      </c>
      <c r="H13" s="96" t="inlineStr">
        <is>
          <t>★★★★</t>
        </is>
      </c>
      <c r="I13" s="97" t="inlineStr">
        <is>
          <t>★★★</t>
        </is>
      </c>
      <c r="J13" s="94" t="inlineStr">
        <is>
          <t>—</t>
        </is>
      </c>
      <c r="K13" s="95" t="inlineStr">
        <is>
          <t>★★★★★</t>
        </is>
      </c>
      <c r="L13" s="96" t="inlineStr">
        <is>
          <t>★★★★</t>
        </is>
      </c>
      <c r="M13" s="97" t="inlineStr">
        <is>
          <t>★★★</t>
        </is>
      </c>
      <c r="N13" s="97" t="inlineStr">
        <is>
          <t>★★★</t>
        </is>
      </c>
      <c r="O13" s="95" t="inlineStr">
        <is>
          <t>★★★★★</t>
        </is>
      </c>
    </row>
    <row r="14" ht="20" customHeight="1">
      <c r="A14" s="93" t="inlineStr">
        <is>
          <t>EARTH</t>
        </is>
      </c>
      <c r="B14" s="95" t="inlineStr">
        <is>
          <t>★★★★★</t>
        </is>
      </c>
      <c r="C14" s="96" t="inlineStr">
        <is>
          <t>★★★★</t>
        </is>
      </c>
      <c r="D14" s="96" t="inlineStr">
        <is>
          <t>★★★★</t>
        </is>
      </c>
      <c r="E14" s="96" t="inlineStr">
        <is>
          <t>★★★★</t>
        </is>
      </c>
      <c r="F14" s="97" t="inlineStr">
        <is>
          <t>★★★</t>
        </is>
      </c>
      <c r="G14" s="97" t="inlineStr">
        <is>
          <t>★★★</t>
        </is>
      </c>
      <c r="H14" s="98" t="inlineStr">
        <is>
          <t>★★</t>
        </is>
      </c>
      <c r="I14" s="98" t="inlineStr">
        <is>
          <t>★★</t>
        </is>
      </c>
      <c r="J14" s="95" t="inlineStr">
        <is>
          <t>★★★★★</t>
        </is>
      </c>
      <c r="K14" s="94" t="inlineStr">
        <is>
          <t>—</t>
        </is>
      </c>
      <c r="L14" s="97" t="inlineStr">
        <is>
          <t>★★★</t>
        </is>
      </c>
      <c r="M14" s="97" t="inlineStr">
        <is>
          <t>★★★</t>
        </is>
      </c>
      <c r="N14" s="97" t="inlineStr">
        <is>
          <t>★★★</t>
        </is>
      </c>
      <c r="O14" s="96" t="inlineStr">
        <is>
          <t>★★★★</t>
        </is>
      </c>
    </row>
    <row r="15" ht="20" customHeight="1">
      <c r="A15" s="93" t="inlineStr">
        <is>
          <t>POWER</t>
        </is>
      </c>
      <c r="B15" s="96" t="inlineStr">
        <is>
          <t>★★★★</t>
        </is>
      </c>
      <c r="C15" s="96" t="inlineStr">
        <is>
          <t>★★★★</t>
        </is>
      </c>
      <c r="D15" s="96" t="inlineStr">
        <is>
          <t>★★★★</t>
        </is>
      </c>
      <c r="E15" s="97" t="inlineStr">
        <is>
          <t>★★★</t>
        </is>
      </c>
      <c r="F15" s="96" t="inlineStr">
        <is>
          <t>★★★★</t>
        </is>
      </c>
      <c r="G15" s="97" t="inlineStr">
        <is>
          <t>★★★</t>
        </is>
      </c>
      <c r="H15" s="98" t="inlineStr">
        <is>
          <t>★★</t>
        </is>
      </c>
      <c r="I15" s="97" t="inlineStr">
        <is>
          <t>★★★</t>
        </is>
      </c>
      <c r="J15" s="96" t="inlineStr">
        <is>
          <t>★★★★</t>
        </is>
      </c>
      <c r="K15" s="97" t="inlineStr">
        <is>
          <t>★★★</t>
        </is>
      </c>
      <c r="L15" s="94" t="inlineStr">
        <is>
          <t>—</t>
        </is>
      </c>
      <c r="M15" s="96" t="inlineStr">
        <is>
          <t>★★★★</t>
        </is>
      </c>
      <c r="N15" s="96" t="inlineStr">
        <is>
          <t>★★★★</t>
        </is>
      </c>
      <c r="O15" s="95" t="inlineStr">
        <is>
          <t>★★★★★</t>
        </is>
      </c>
    </row>
    <row r="16" ht="20" customHeight="1">
      <c r="A16" s="93" t="inlineStr">
        <is>
          <t>INVISIBLE</t>
        </is>
      </c>
      <c r="B16" s="96" t="inlineStr">
        <is>
          <t>★★★★</t>
        </is>
      </c>
      <c r="C16" s="96" t="inlineStr">
        <is>
          <t>★★★★</t>
        </is>
      </c>
      <c r="D16" s="96" t="inlineStr">
        <is>
          <t>★★★★</t>
        </is>
      </c>
      <c r="E16" s="96" t="inlineStr">
        <is>
          <t>★★★★</t>
        </is>
      </c>
      <c r="F16" s="97" t="inlineStr">
        <is>
          <t>★★★</t>
        </is>
      </c>
      <c r="G16" s="96" t="inlineStr">
        <is>
          <t>★★★★</t>
        </is>
      </c>
      <c r="H16" s="97" t="inlineStr">
        <is>
          <t>★★★</t>
        </is>
      </c>
      <c r="I16" s="97" t="inlineStr">
        <is>
          <t>★★★</t>
        </is>
      </c>
      <c r="J16" s="97" t="inlineStr">
        <is>
          <t>★★★</t>
        </is>
      </c>
      <c r="K16" s="97" t="inlineStr">
        <is>
          <t>★★★</t>
        </is>
      </c>
      <c r="L16" s="96" t="inlineStr">
        <is>
          <t>★★★★</t>
        </is>
      </c>
      <c r="M16" s="94" t="inlineStr">
        <is>
          <t>—</t>
        </is>
      </c>
      <c r="N16" s="96" t="inlineStr">
        <is>
          <t>★★★★</t>
        </is>
      </c>
      <c r="O16" s="96" t="inlineStr">
        <is>
          <t>★★★★</t>
        </is>
      </c>
    </row>
    <row r="17" ht="20" customHeight="1">
      <c r="A17" s="93" t="inlineStr">
        <is>
          <t>IDENTITY</t>
        </is>
      </c>
      <c r="B17" s="97" t="inlineStr">
        <is>
          <t>★★★</t>
        </is>
      </c>
      <c r="C17" s="97" t="inlineStr">
        <is>
          <t>★★★</t>
        </is>
      </c>
      <c r="D17" s="96" t="inlineStr">
        <is>
          <t>★★★★</t>
        </is>
      </c>
      <c r="E17" s="95" t="inlineStr">
        <is>
          <t>★★★★★</t>
        </is>
      </c>
      <c r="F17" s="96" t="inlineStr">
        <is>
          <t>★★★★</t>
        </is>
      </c>
      <c r="G17" s="98" t="inlineStr">
        <is>
          <t>★★</t>
        </is>
      </c>
      <c r="H17" s="96" t="inlineStr">
        <is>
          <t>★★★★</t>
        </is>
      </c>
      <c r="I17" s="95" t="inlineStr">
        <is>
          <t>★★★★★</t>
        </is>
      </c>
      <c r="J17" s="97" t="inlineStr">
        <is>
          <t>★★★</t>
        </is>
      </c>
      <c r="K17" s="97" t="inlineStr">
        <is>
          <t>★★★</t>
        </is>
      </c>
      <c r="L17" s="96" t="inlineStr">
        <is>
          <t>★★★★</t>
        </is>
      </c>
      <c r="M17" s="96" t="inlineStr">
        <is>
          <t>★★★★</t>
        </is>
      </c>
      <c r="N17" s="94" t="inlineStr">
        <is>
          <t>—</t>
        </is>
      </c>
      <c r="O17" s="95" t="inlineStr">
        <is>
          <t>★★★★★</t>
        </is>
      </c>
    </row>
    <row r="18" ht="20" customHeight="1">
      <c r="A18" s="93" t="inlineStr">
        <is>
          <t>INDUSTRIAL</t>
        </is>
      </c>
      <c r="B18" s="96" t="inlineStr">
        <is>
          <t>★★★★</t>
        </is>
      </c>
      <c r="C18" s="95" t="inlineStr">
        <is>
          <t>★★★★★</t>
        </is>
      </c>
      <c r="D18" s="96" t="inlineStr">
        <is>
          <t>★★★★</t>
        </is>
      </c>
      <c r="E18" s="96" t="inlineStr">
        <is>
          <t>★★★★</t>
        </is>
      </c>
      <c r="F18" s="95" t="inlineStr">
        <is>
          <t>★★★★★</t>
        </is>
      </c>
      <c r="G18" s="96" t="inlineStr">
        <is>
          <t>★★★★</t>
        </is>
      </c>
      <c r="H18" s="96" t="inlineStr">
        <is>
          <t>★★★★</t>
        </is>
      </c>
      <c r="I18" s="96" t="inlineStr">
        <is>
          <t>★★★★</t>
        </is>
      </c>
      <c r="J18" s="95" t="inlineStr">
        <is>
          <t>★★★★★</t>
        </is>
      </c>
      <c r="K18" s="96" t="inlineStr">
        <is>
          <t>★★★★</t>
        </is>
      </c>
      <c r="L18" s="95" t="inlineStr">
        <is>
          <t>★★★★★</t>
        </is>
      </c>
      <c r="M18" s="96" t="inlineStr">
        <is>
          <t>★★★★</t>
        </is>
      </c>
      <c r="N18" s="95" t="inlineStr">
        <is>
          <t>★★★★★</t>
        </is>
      </c>
      <c r="O18" s="94" t="inlineStr">
        <is>
          <t>—</t>
        </is>
      </c>
    </row>
    <row r="20" ht="24" customHeight="1">
      <c r="A20" s="6" t="inlineStr">
        <is>
          <t>THE COMBO BEHIND EVERY CELL</t>
        </is>
      </c>
    </row>
    <row r="21">
      <c r="A21" s="24" t="inlineStr">
        <is>
          <t>Crossing</t>
        </is>
      </c>
      <c r="B21" s="24" t="inlineStr">
        <is>
          <t>★</t>
        </is>
      </c>
      <c r="C21" s="24" t="inlineStr">
        <is>
          <t>The combination, concretely</t>
        </is>
      </c>
      <c r="D21" s="24" t="inlineStr">
        <is>
          <t>col</t>
        </is>
      </c>
      <c r="E21" s="24" t="inlineStr">
        <is>
          <t>col (1)</t>
        </is>
      </c>
      <c r="F21" s="24" t="inlineStr">
        <is>
          <t>col (2)</t>
        </is>
      </c>
      <c r="G21" s="24" t="inlineStr">
        <is>
          <t>col (3)</t>
        </is>
      </c>
      <c r="H21" s="24" t="inlineStr">
        <is>
          <t>col (4)</t>
        </is>
      </c>
      <c r="I21" s="24" t="inlineStr">
        <is>
          <t>col (5)</t>
        </is>
      </c>
      <c r="J21" s="24" t="inlineStr">
        <is>
          <t>col (6)</t>
        </is>
      </c>
      <c r="K21" s="24" t="inlineStr">
        <is>
          <t>col (7)</t>
        </is>
      </c>
      <c r="L21" s="24" t="inlineStr">
        <is>
          <t>col (8)</t>
        </is>
      </c>
      <c r="M21" s="24" t="inlineStr">
        <is>
          <t>col (9)</t>
        </is>
      </c>
      <c r="N21" s="24" t="inlineStr">
        <is>
          <t>col (10)</t>
        </is>
      </c>
      <c r="O21" s="24" t="inlineStr">
        <is>
          <t>col (11)</t>
        </is>
      </c>
      <c r="P21" s="24" t="inlineStr">
        <is>
          <t>col (12)</t>
        </is>
      </c>
      <c r="Q21" s="24" t="inlineStr">
        <is>
          <t>col (13)</t>
        </is>
      </c>
      <c r="R21" s="24" t="inlineStr">
        <is>
          <t>col (14)</t>
        </is>
      </c>
      <c r="S21" s="24" t="inlineStr">
        <is>
          <t>col (15)</t>
        </is>
      </c>
      <c r="T21" s="24" t="inlineStr">
        <is>
          <t>col (16)</t>
        </is>
      </c>
      <c r="U21" s="24" t="inlineStr">
        <is>
          <t>col (17)</t>
        </is>
      </c>
      <c r="V21" s="24" t="inlineStr">
        <is>
          <t>col (18)</t>
        </is>
      </c>
    </row>
    <row r="22" ht="24" customHeight="1">
      <c r="A22" s="7" t="inlineStr">
        <is>
          <t>AIR × BODY</t>
        </is>
      </c>
      <c r="B22" s="99" t="inlineStr">
        <is>
          <t>★★★★★</t>
        </is>
      </c>
      <c r="C22" s="12" t="inlineStr">
        <is>
          <t>Personal exposure dosimetry: PM + VOC + GPS on a body = what YOU actually breathed today, block by block — city averages hide this entirely</t>
        </is>
      </c>
    </row>
    <row r="23" ht="24" customHeight="1">
      <c r="A23" s="7" t="inlineStr">
        <is>
          <t>AIR × CLIMATE</t>
        </is>
      </c>
      <c r="B23" s="99" t="inlineStr">
        <is>
          <t>★★★★★</t>
        </is>
      </c>
      <c r="C23" s="12" t="inlineStr">
        <is>
          <t>Full IAQ station: CO2+PM+VOC with RH/T compensation — the canonical build</t>
        </is>
      </c>
    </row>
    <row r="24" ht="24" customHeight="1">
      <c r="A24" s="7" t="inlineStr">
        <is>
          <t>AIR × INDUSTRIAL</t>
        </is>
      </c>
      <c r="B24" s="99" t="inlineStr">
        <is>
          <t>★★★★★</t>
        </is>
      </c>
      <c r="C24" s="12" t="inlineStr">
        <is>
          <t>Confined-space and plant air safety: 4-20mA gas transmitters, fume-hood face velocity, filter differential pressure over Modbus — where air sensing becomes legally serious</t>
        </is>
      </c>
    </row>
    <row r="25" ht="24" customHeight="1">
      <c r="A25" s="7" t="inlineStr">
        <is>
          <t>BODY × IDENTITY</t>
        </is>
      </c>
      <c r="B25" s="99" t="inlineStr">
        <is>
          <t>★★★★★</t>
        </is>
      </c>
      <c r="C25" s="12" t="inlineStr">
        <is>
          <t>'Who is this, and how are they?' — fingerprint/NFC identity gating personal health records, medication adherence logging, and access granted by wellness state</t>
        </is>
      </c>
    </row>
    <row r="26" ht="24" customHeight="1">
      <c r="A26" s="7" t="inlineStr">
        <is>
          <t>BODY × MOTION</t>
        </is>
      </c>
      <c r="B26" s="99" t="inlineStr">
        <is>
          <t>★★★★★</t>
        </is>
      </c>
      <c r="C26" s="12" t="inlineStr">
        <is>
          <t>Vitals + IMU = the complete wearable (sleep, sport, tremor)</t>
        </is>
      </c>
    </row>
    <row r="27" ht="24" customHeight="1">
      <c r="A27" s="7" t="inlineStr">
        <is>
          <t>BODY × SPACE</t>
        </is>
      </c>
      <c r="B27" s="99" t="inlineStr">
        <is>
          <t>★★★★★</t>
        </is>
      </c>
      <c r="C27" s="12" t="inlineStr">
        <is>
          <t>Contactless vitals: radar respiration + presence = sleep lab</t>
        </is>
      </c>
    </row>
    <row r="28" ht="24" customHeight="1">
      <c r="A28" s="7" t="inlineStr">
        <is>
          <t>CLIMATE × EARTH</t>
        </is>
      </c>
      <c r="B28" s="99" t="inlineStr">
        <is>
          <t>★★★★★</t>
        </is>
      </c>
      <c r="C28" s="12" t="inlineStr">
        <is>
          <t>Frost prediction, planting oracles, irrigation-by-weather</t>
        </is>
      </c>
    </row>
    <row r="29" ht="24" customHeight="1">
      <c r="A29" s="7" t="inlineStr">
        <is>
          <t>EARTH × WATER</t>
        </is>
      </c>
      <c r="B29" s="99" t="inlineStr">
        <is>
          <t>★★★★★</t>
        </is>
      </c>
      <c r="C29" s="12" t="inlineStr">
        <is>
          <t>Hydroponics &amp; irrigation: soil tension + pH/EC dosing loops</t>
        </is>
      </c>
    </row>
    <row r="30" ht="24" customHeight="1">
      <c r="A30" s="7" t="inlineStr">
        <is>
          <t>IDENTITY × INDUSTRIAL</t>
        </is>
      </c>
      <c r="B30" s="99" t="inlineStr">
        <is>
          <t>★★★★★</t>
        </is>
      </c>
      <c r="C30" s="12" t="inlineStr">
        <is>
          <t>Operator authorisation: the machine only runs for a badged, trained operator — and logs exactly who ran what, for how long, at what load</t>
        </is>
      </c>
    </row>
    <row r="31" ht="24" customHeight="1">
      <c r="A31" s="7" t="inlineStr">
        <is>
          <t>IDENTITY × SPACE</t>
        </is>
      </c>
      <c r="B31" s="99" t="inlineStr">
        <is>
          <t>★★★★★</t>
        </is>
      </c>
      <c r="C31" s="12" t="inlineStr">
        <is>
          <t>'Where is thing X?' — RFID/NFC supplies identity, UWB/BLE supplies position. Together they are asset tracking: an entire logistics industry in two sensors</t>
        </is>
      </c>
    </row>
    <row r="32" ht="24" customHeight="1">
      <c r="A32" s="7" t="inlineStr">
        <is>
          <t>INDUSTRIAL × MOTION</t>
        </is>
      </c>
      <c r="B32" s="99" t="inlineStr">
        <is>
          <t>★★★★★</t>
        </is>
      </c>
      <c r="C32" s="12" t="inlineStr">
        <is>
          <t>The core of predictive maintenance: vibration and motor current on sealed industrial sensors, reported over Modbus/4-20mA to a historian</t>
        </is>
      </c>
    </row>
    <row r="33" ht="24" customHeight="1">
      <c r="A33" s="7" t="inlineStr">
        <is>
          <t>INDUSTRIAL × POWER</t>
        </is>
      </c>
      <c r="B33" s="99" t="inlineStr">
        <is>
          <t>★★★★★</t>
        </is>
      </c>
      <c r="C33" s="12" t="inlineStr">
        <is>
          <t>The plant energy backbone: CT clamps and metering ICs on Modbus, motor-current signature analysis, power quality logged at the panel</t>
        </is>
      </c>
    </row>
    <row r="34" ht="24" customHeight="1">
      <c r="A34" s="7" t="inlineStr">
        <is>
          <t>INDUSTRIAL × WATER</t>
        </is>
      </c>
      <c r="B34" s="99" t="inlineStr">
        <is>
          <t>★★★★★</t>
        </is>
      </c>
      <c r="C34" s="12" t="inlineStr">
        <is>
          <t>Process water: 4-20mA level/flow/pH transmitters, clamp-on ultrasonic metering, pump dry-run protection — the most commercially mature sensing stack in this document</t>
        </is>
      </c>
    </row>
    <row r="35" ht="24" customHeight="1">
      <c r="A35" s="7" t="inlineStr">
        <is>
          <t>MOTION × SOUND</t>
        </is>
      </c>
      <c r="B35" s="99" t="inlineStr">
        <is>
          <t>★★★★★</t>
        </is>
      </c>
      <c r="C35" s="12" t="inlineStr">
        <is>
          <t>Machine health: vibration FFT + acoustic emission = early failure</t>
        </is>
      </c>
    </row>
    <row r="36" ht="24" customHeight="1">
      <c r="A36" s="7" t="inlineStr">
        <is>
          <t>MOTION × SPACE</t>
        </is>
      </c>
      <c r="B36" s="99" t="inlineStr">
        <is>
          <t>★★★★★</t>
        </is>
      </c>
      <c r="C36" s="12" t="inlineStr">
        <is>
          <t>Dead-reckoning + GPS/UWB: robust tracking through tunnels</t>
        </is>
      </c>
    </row>
    <row r="37" ht="24" customHeight="1">
      <c r="A37" s="7" t="inlineStr">
        <is>
          <t>AIR × EARTH</t>
        </is>
      </c>
      <c r="B37" s="99" t="inlineStr">
        <is>
          <t>★★★★</t>
        </is>
      </c>
      <c r="C37" s="12" t="inlineStr">
        <is>
          <t>Compost CO2/NH3 + coop air = livestock &amp; microbe welfare</t>
        </is>
      </c>
    </row>
    <row r="38" ht="24" customHeight="1">
      <c r="A38" s="7" t="inlineStr">
        <is>
          <t>AIR × INVISIBLE</t>
        </is>
      </c>
      <c r="B38" s="99" t="inlineStr">
        <is>
          <t>★★★★</t>
        </is>
      </c>
      <c r="C38" s="12" t="inlineStr">
        <is>
          <t>Radon + CO2 ventilation logic — health-driven airflow</t>
        </is>
      </c>
    </row>
    <row r="39" ht="24" customHeight="1">
      <c r="A39" s="7" t="inlineStr">
        <is>
          <t>AIR × POWER</t>
        </is>
      </c>
      <c r="B39" s="99" t="inlineStr">
        <is>
          <t>★★★★</t>
        </is>
      </c>
      <c r="C39" s="12" t="inlineStr">
        <is>
          <t>Purifier/fan control loops with energy accounting</t>
        </is>
      </c>
    </row>
    <row r="40" ht="24" customHeight="1">
      <c r="A40" s="7" t="inlineStr">
        <is>
          <t>AIR × SPACE</t>
        </is>
      </c>
      <c r="B40" s="99" t="inlineStr">
        <is>
          <t>★★★★</t>
        </is>
      </c>
      <c r="C40" s="12" t="inlineStr">
        <is>
          <t>Per-room air quality follows occupancy: ventilate where people ARE</t>
        </is>
      </c>
    </row>
    <row r="41" ht="24" customHeight="1">
      <c r="A41" s="7" t="inlineStr">
        <is>
          <t>BODY × CLIMATE</t>
        </is>
      </c>
      <c r="B41" s="99" t="inlineStr">
        <is>
          <t>★★★★</t>
        </is>
      </c>
      <c r="C41" s="12" t="inlineStr">
        <is>
          <t>Heat-stress index wearables: core trend + wet-bulb estimate</t>
        </is>
      </c>
    </row>
    <row r="42" ht="24" customHeight="1">
      <c r="A42" s="7" t="inlineStr">
        <is>
          <t>BODY × INDUSTRIAL</t>
        </is>
      </c>
      <c r="B42" s="99" t="inlineStr">
        <is>
          <t>★★★★</t>
        </is>
      </c>
      <c r="C42" s="12" t="inlineStr">
        <is>
          <t>Worker safety instrumentation: heat stress, gas exposure and fatigue monitoring inside the industrial environment rather than the lab</t>
        </is>
      </c>
    </row>
    <row r="43" ht="24" customHeight="1">
      <c r="A43" s="7" t="inlineStr">
        <is>
          <t>BODY × LIGHT+VISION</t>
        </is>
      </c>
      <c r="B43" s="99" t="inlineStr">
        <is>
          <t>★★★★</t>
        </is>
      </c>
      <c r="C43" s="12" t="inlineStr">
        <is>
          <t>Circadian melanopic dosing matched to your physiology</t>
        </is>
      </c>
    </row>
    <row r="44" ht="24" customHeight="1">
      <c r="A44" s="7" t="inlineStr">
        <is>
          <t>BODY × SOUND</t>
        </is>
      </c>
      <c r="B44" s="99" t="inlineStr">
        <is>
          <t>★★★★</t>
        </is>
      </c>
      <c r="C44" s="12" t="inlineStr">
        <is>
          <t>Breath + heartbeat audio biofeedback instruments</t>
        </is>
      </c>
    </row>
    <row r="45" ht="24" customHeight="1">
      <c r="A45" s="7" t="inlineStr">
        <is>
          <t>BODY × TOUCH</t>
        </is>
      </c>
      <c r="B45" s="99" t="inlineStr">
        <is>
          <t>★★★★</t>
        </is>
      </c>
      <c r="C45" s="12" t="inlineStr">
        <is>
          <t>EMG grip + FSR force = prosthetics and rehab tools</t>
        </is>
      </c>
    </row>
    <row r="46" ht="24" customHeight="1">
      <c r="A46" s="7" t="inlineStr">
        <is>
          <t>CLIMATE × INDUSTRIAL</t>
        </is>
      </c>
      <c r="B46" s="99" t="inlineStr">
        <is>
          <t>★★★★</t>
        </is>
      </c>
      <c r="C46" s="12" t="inlineStr">
        <is>
          <t>Plant-room climate on industrial rails: 4-20mA temp/RH transmitters and DIN-rail controllers for switchgear, server halls and process areas</t>
        </is>
      </c>
    </row>
    <row r="47" ht="24" customHeight="1">
      <c r="A47" s="7" t="inlineStr">
        <is>
          <t>CLIMATE × INVISIBLE</t>
        </is>
      </c>
      <c r="B47" s="99" t="inlineStr">
        <is>
          <t>★★★★</t>
        </is>
      </c>
      <c r="C47" s="12" t="inlineStr">
        <is>
          <t>Storm electricity + lightning RF + pressure = phenomenology station</t>
        </is>
      </c>
    </row>
    <row r="48" ht="24" customHeight="1">
      <c r="A48" s="7" t="inlineStr">
        <is>
          <t>CLIMATE × LIGHT+VISION</t>
        </is>
      </c>
      <c r="B48" s="99" t="inlineStr">
        <is>
          <t>★★★★</t>
        </is>
      </c>
      <c r="C48" s="12" t="inlineStr">
        <is>
          <t>Sky temp (IR) + lux = cloud cover &amp; radiative frost model</t>
        </is>
      </c>
    </row>
    <row r="49" ht="24" customHeight="1">
      <c r="A49" s="7" t="inlineStr">
        <is>
          <t>CLIMATE × POWER</t>
        </is>
      </c>
      <c r="B49" s="99" t="inlineStr">
        <is>
          <t>★★★★</t>
        </is>
      </c>
      <c r="C49" s="12" t="inlineStr">
        <is>
          <t>Solar forecasting from irradiance + temperature derating</t>
        </is>
      </c>
    </row>
    <row r="50" ht="24" customHeight="1">
      <c r="A50" s="7" t="inlineStr">
        <is>
          <t>CLIMATE × WATER</t>
        </is>
      </c>
      <c r="B50" s="99" t="inlineStr">
        <is>
          <t>★★★★</t>
        </is>
      </c>
      <c r="C50" s="12" t="inlineStr">
        <is>
          <t>Rain → tank → irrigation chains; storm pre-draining</t>
        </is>
      </c>
    </row>
    <row r="51" ht="24" customHeight="1">
      <c r="A51" s="7" t="inlineStr">
        <is>
          <t>EARTH × INDUSTRIAL</t>
        </is>
      </c>
      <c r="B51" s="99" t="inlineStr">
        <is>
          <t>★★★★</t>
        </is>
      </c>
      <c r="C51" s="12" t="inlineStr">
        <is>
          <t>Agriculture at 24V: irrigation valve manifolds, silo level, greenhouse actuation over RS-485 — farm automation is industrial automation outdoors</t>
        </is>
      </c>
    </row>
    <row r="52" ht="24" customHeight="1">
      <c r="A52" s="7" t="inlineStr">
        <is>
          <t>EARTH × LIGHT+VISION</t>
        </is>
      </c>
      <c r="B52" s="99" t="inlineStr">
        <is>
          <t>★★★★</t>
        </is>
      </c>
      <c r="C52" s="12" t="inlineStr">
        <is>
          <t>NDVI ripeness + growth time-lapse + DLI light integrals</t>
        </is>
      </c>
    </row>
    <row r="53" ht="24" customHeight="1">
      <c r="A53" s="7" t="inlineStr">
        <is>
          <t>EARTH × SPACE</t>
        </is>
      </c>
      <c r="B53" s="99" t="inlineStr">
        <is>
          <t>★★★★</t>
        </is>
      </c>
      <c r="C53" s="12" t="inlineStr">
        <is>
          <t>Geotagged soil sampling maps; RTK precision agriculture</t>
        </is>
      </c>
    </row>
    <row r="54" ht="24" customHeight="1">
      <c r="A54" s="7" t="inlineStr">
        <is>
          <t>IDENTITY × INVISIBLE</t>
        </is>
      </c>
      <c r="B54" s="99" t="inlineStr">
        <is>
          <t>★★★★</t>
        </is>
      </c>
      <c r="C54" s="12" t="inlineStr">
        <is>
          <t>RFID IS invisible sensing — UHF backscatter reads tags through boxes and walls. Add per-person radiation dosimetry badges and identity becomes a physics instrument</t>
        </is>
      </c>
    </row>
    <row r="55" ht="24" customHeight="1">
      <c r="A55" s="7" t="inlineStr">
        <is>
          <t>IDENTITY × LIGHT+VISION</t>
        </is>
      </c>
      <c r="B55" s="99" t="inlineStr">
        <is>
          <t>★★★★</t>
        </is>
      </c>
      <c r="C55" s="12" t="inlineStr">
        <is>
          <t>Vision plus tag = ground truth: the camera sees an object, the tag says exactly WHICH one. This pairing is what makes inventory and anti-counterfeit actually work</t>
        </is>
      </c>
    </row>
    <row r="56" ht="24" customHeight="1">
      <c r="A56" s="7" t="inlineStr">
        <is>
          <t>IDENTITY × MOTION</t>
        </is>
      </c>
      <c r="B56" s="99" t="inlineStr">
        <is>
          <t>★★★★</t>
        </is>
      </c>
      <c r="C56" s="12" t="inlineStr">
        <is>
          <t>Provenance of handling: the tag says which parcel, the accelerometer says it was dropped — and the pair says who was holding it</t>
        </is>
      </c>
    </row>
    <row r="57" ht="24" customHeight="1">
      <c r="A57" s="7" t="inlineStr">
        <is>
          <t>IDENTITY × POWER</t>
        </is>
      </c>
      <c r="B57" s="99" t="inlineStr">
        <is>
          <t>★★★★</t>
        </is>
      </c>
      <c r="C57" s="12" t="inlineStr">
        <is>
          <t>Attribution: tool-crib checkout tied to per-tool energy use, EV charge sessions billed to a card, per-desk power tied to a badge</t>
        </is>
      </c>
    </row>
    <row r="58" ht="24" customHeight="1">
      <c r="A58" s="7" t="inlineStr">
        <is>
          <t>IDENTITY × TOUCH</t>
        </is>
      </c>
      <c r="B58" s="99" t="inlineStr">
        <is>
          <t>★★★★</t>
        </is>
      </c>
      <c r="C58" s="12" t="inlineStr">
        <is>
          <t>Tangible computing: tokens, cards and tagged objects AS the interface — tap a wooden disc to play an album, place a tile to run a scene</t>
        </is>
      </c>
    </row>
    <row r="59" ht="24" customHeight="1">
      <c r="A59" s="7" t="inlineStr">
        <is>
          <t>INDUSTRIAL × INVISIBLE</t>
        </is>
      </c>
      <c r="B59" s="99" t="inlineStr">
        <is>
          <t>★★★★</t>
        </is>
      </c>
      <c r="C59" s="12" t="inlineStr">
        <is>
          <t>Non-destructive inspection: ultrasonic wall-thickness, radiation level gauges, RF partial-discharge detection on switchgear — seeing inside without opening</t>
        </is>
      </c>
    </row>
    <row r="60" ht="24" customHeight="1">
      <c r="A60" s="7" t="inlineStr">
        <is>
          <t>INDUSTRIAL × LIGHT+VISION</t>
        </is>
      </c>
      <c r="B60" s="99" t="inlineStr">
        <is>
          <t>★★★★</t>
        </is>
      </c>
      <c r="C60" s="12" t="inlineStr">
        <is>
          <t>Machine vision on the line: a photoelectric beam triggers the camera at the right instant, thermal finds the hot bearing as it passes</t>
        </is>
      </c>
    </row>
    <row r="61" ht="24" customHeight="1">
      <c r="A61" s="7" t="inlineStr">
        <is>
          <t>INDUSTRIAL × SOUND</t>
        </is>
      </c>
      <c r="B61" s="99" t="inlineStr">
        <is>
          <t>★★★★</t>
        </is>
      </c>
      <c r="C61" s="12" t="inlineStr">
        <is>
          <t>Ultrasonic leak detection and acoustic emission on plant equipment — the compressed-air audit that pays for the sensor in weeks</t>
        </is>
      </c>
    </row>
    <row r="62" ht="24" customHeight="1">
      <c r="A62" s="7" t="inlineStr">
        <is>
          <t>INDUSTRIAL × SPACE</t>
        </is>
      </c>
      <c r="B62" s="99" t="inlineStr">
        <is>
          <t>★★★★</t>
        </is>
      </c>
      <c r="C62" s="12" t="inlineStr">
        <is>
          <t>Position feedback in the 24V world: inductive proximity end-stops, laser distance on gantries, encoders wired to PLC-grade IO</t>
        </is>
      </c>
    </row>
    <row r="63" ht="24" customHeight="1">
      <c r="A63" s="7" t="inlineStr">
        <is>
          <t>INDUSTRIAL × TOUCH</t>
        </is>
      </c>
      <c r="B63" s="99" t="inlineStr">
        <is>
          <t>★★★★</t>
        </is>
      </c>
      <c r="C63" s="12" t="inlineStr">
        <is>
          <t>Sealed control surfaces: inductive and capacitive buttons that read a press through solid steel or thick plastic, so the panel has no holes for water, dust or explosive gas — the reason industrial and marine HMIs feel different from consumer ones</t>
        </is>
      </c>
    </row>
    <row r="64" ht="24" customHeight="1">
      <c r="A64" s="7" t="inlineStr">
        <is>
          <t>INVISIBLE × LIGHT+VISION</t>
        </is>
      </c>
      <c r="B64" s="99" t="inlineStr">
        <is>
          <t>★★★★</t>
        </is>
      </c>
      <c r="C64" s="12" t="inlineStr">
        <is>
          <t>Thermal + visible overlay: energy X-ray of buildings · Gamma spectroscopy + scintillator = seeing isotopes</t>
        </is>
      </c>
    </row>
    <row r="65" ht="24" customHeight="1">
      <c r="A65" s="7" t="inlineStr">
        <is>
          <t>INVISIBLE × POWER</t>
        </is>
      </c>
      <c r="B65" s="99" t="inlineStr">
        <is>
          <t>★★★★</t>
        </is>
      </c>
      <c r="C65" s="12" t="inlineStr">
        <is>
          <t>H2 outgassing + charge current: battery-room safety</t>
        </is>
      </c>
    </row>
    <row r="66" ht="24" customHeight="1">
      <c r="A66" s="7" t="inlineStr">
        <is>
          <t>INVISIBLE × SOUND</t>
        </is>
      </c>
      <c r="B66" s="99" t="inlineStr">
        <is>
          <t>★★★★</t>
        </is>
      </c>
      <c r="C66" s="12" t="inlineStr">
        <is>
          <t>Ultrasonic worlds: bats, leaks, arcing — heterodyned to audible</t>
        </is>
      </c>
    </row>
    <row r="67" ht="24" customHeight="1">
      <c r="A67" s="7" t="inlineStr">
        <is>
          <t>INVISIBLE × SPACE</t>
        </is>
      </c>
      <c r="B67" s="99" t="inlineStr">
        <is>
          <t>★★★★</t>
        </is>
      </c>
      <c r="C67" s="12" t="inlineStr">
        <is>
          <t>CSI Wi-Fi presence + UWB ranging: RF location stack</t>
        </is>
      </c>
    </row>
    <row r="68" ht="24" customHeight="1">
      <c r="A68" s="7" t="inlineStr">
        <is>
          <t>LIGHT+VISION × MOTION</t>
        </is>
      </c>
      <c r="B68" s="99" t="inlineStr">
        <is>
          <t>★★★★</t>
        </is>
      </c>
      <c r="C68" s="12" t="inlineStr">
        <is>
          <t>Camera gimbals; optical flow + IMU fusion</t>
        </is>
      </c>
    </row>
    <row r="69" ht="24" customHeight="1">
      <c r="A69" s="7" t="inlineStr">
        <is>
          <t>LIGHT+VISION × POWER</t>
        </is>
      </c>
      <c r="B69" s="99" t="inlineStr">
        <is>
          <t>★★★★</t>
        </is>
      </c>
      <c r="C69" s="12" t="inlineStr">
        <is>
          <t>Pyranometer + panel current = solar truth meter</t>
        </is>
      </c>
    </row>
    <row r="70" ht="24" customHeight="1">
      <c r="A70" s="7" t="inlineStr">
        <is>
          <t>LIGHT+VISION × SOUND</t>
        </is>
      </c>
      <c r="B70" s="99" t="inlineStr">
        <is>
          <t>★★★★</t>
        </is>
      </c>
      <c r="C70" s="12" t="inlineStr">
        <is>
          <t>AV installations: spectra + audio FFT drive generative art</t>
        </is>
      </c>
    </row>
    <row r="71" ht="24" customHeight="1">
      <c r="A71" s="7" t="inlineStr">
        <is>
          <t>LIGHT+VISION × SPACE</t>
        </is>
      </c>
      <c r="B71" s="99" t="inlineStr">
        <is>
          <t>★★★★</t>
        </is>
      </c>
      <c r="C71" s="12" t="inlineStr">
        <is>
          <t>Camera wake on presence; ToF + camera = depth-aware vision</t>
        </is>
      </c>
    </row>
    <row r="72" ht="24" customHeight="1">
      <c r="A72" s="7" t="inlineStr">
        <is>
          <t>LIGHT+VISION × WATER</t>
        </is>
      </c>
      <c r="B72" s="99" t="inlineStr">
        <is>
          <t>★★★★</t>
        </is>
      </c>
      <c r="C72" s="12" t="inlineStr">
        <is>
          <t>Optical water science: turbidity, colorimetric test-strip reading, algae/tint tracking, and underwater cameras — light is how you read water chemistry without probes</t>
        </is>
      </c>
    </row>
    <row r="73" ht="24" customHeight="1">
      <c r="A73" s="7" t="inlineStr">
        <is>
          <t>MOTION × POWER</t>
        </is>
      </c>
      <c r="B73" s="99" t="inlineStr">
        <is>
          <t>★★★★</t>
        </is>
      </c>
      <c r="C73" s="12" t="inlineStr">
        <is>
          <t>Current + vibration signatures classify machine states</t>
        </is>
      </c>
    </row>
    <row r="74" ht="24" customHeight="1">
      <c r="A74" s="7" t="inlineStr">
        <is>
          <t>MOTION × TOUCH</t>
        </is>
      </c>
      <c r="B74" s="99" t="inlineStr">
        <is>
          <t>★★★★</t>
        </is>
      </c>
      <c r="C74" s="12" t="inlineStr">
        <is>
          <t>Gesture wands + haptic feedback = magic interfaces</t>
        </is>
      </c>
    </row>
    <row r="75" ht="24" customHeight="1">
      <c r="A75" s="7" t="inlineStr">
        <is>
          <t>POWER × WATER</t>
        </is>
      </c>
      <c r="B75" s="99" t="inlineStr">
        <is>
          <t>★★★★</t>
        </is>
      </c>
      <c r="C75" s="12" t="inlineStr">
        <is>
          <t>Flow × ΔT = thermal energy metering; pump health via current</t>
        </is>
      </c>
    </row>
    <row r="76" ht="24" customHeight="1">
      <c r="A76" s="7" t="inlineStr">
        <is>
          <t>SOUND × SPACE</t>
        </is>
      </c>
      <c r="B76" s="99" t="inlineStr">
        <is>
          <t>★★★★</t>
        </is>
      </c>
      <c r="C76" s="12" t="inlineStr">
        <is>
          <t>TDOA: 3 mics + GPS time = locate thunder/gunshots/fireworks</t>
        </is>
      </c>
    </row>
    <row r="77" ht="24" customHeight="1">
      <c r="A77" s="7" t="inlineStr">
        <is>
          <t>SOUND × TOUCH</t>
        </is>
      </c>
      <c r="B77" s="99" t="inlineStr">
        <is>
          <t>★★★★</t>
        </is>
      </c>
      <c r="C77" s="12" t="inlineStr">
        <is>
          <t>Contact pickups: surfaces become drum machines</t>
        </is>
      </c>
    </row>
    <row r="78" ht="24" customHeight="1">
      <c r="A78" s="7" t="inlineStr">
        <is>
          <t>SPACE × WATER</t>
        </is>
      </c>
      <c r="B78" s="99" t="inlineStr">
        <is>
          <t>★★★★</t>
        </is>
      </c>
      <c r="C78" s="12" t="inlineStr">
        <is>
          <t>Ultrasonic/laser levels ARE space sensing for water</t>
        </is>
      </c>
    </row>
    <row r="79" ht="24" customHeight="1">
      <c r="A79" s="7" t="inlineStr">
        <is>
          <t>TOUCH × WATER</t>
        </is>
      </c>
      <c r="B79" s="99" t="inlineStr">
        <is>
          <t>★★★★</t>
        </is>
      </c>
      <c r="C79" s="12" t="inlineStr">
        <is>
          <t>Capacitive through-wall levels; sealed magnetic controls for wet rooms</t>
        </is>
      </c>
    </row>
    <row r="80" ht="24" customHeight="1">
      <c r="A80" s="7" t="inlineStr">
        <is>
          <t>AIR × IDENTITY</t>
        </is>
      </c>
      <c r="B80" s="99" t="inlineStr">
        <is>
          <t>★★★</t>
        </is>
      </c>
      <c r="C80" s="12" t="inlineStr">
        <is>
          <t>Tagged exposure records: badge-level air monitoring where each worker's tag links a dose history to a person</t>
        </is>
      </c>
    </row>
    <row r="81" ht="24" customHeight="1">
      <c r="A81" s="7" t="inlineStr">
        <is>
          <t>AIR × LIGHT+VISION</t>
        </is>
      </c>
      <c r="B81" s="99" t="inlineStr">
        <is>
          <t>★★★</t>
        </is>
      </c>
      <c r="C81" s="12" t="inlineStr">
        <is>
          <t>Smoke vs fog vs dust: PM + visibility camera cross-check</t>
        </is>
      </c>
    </row>
    <row r="82" ht="24" customHeight="1">
      <c r="A82" s="7" t="inlineStr">
        <is>
          <t>AIR × MOTION</t>
        </is>
      </c>
      <c r="B82" s="99" t="inlineStr">
        <is>
          <t>★★★</t>
        </is>
      </c>
      <c r="C82" s="12" t="inlineStr">
        <is>
          <t>Vent dampers (servo) driven by air metrics</t>
        </is>
      </c>
    </row>
    <row r="83" ht="24" customHeight="1">
      <c r="A83" s="7" t="inlineStr">
        <is>
          <t>AIR × SOUND</t>
        </is>
      </c>
      <c r="B83" s="99" t="inlineStr">
        <is>
          <t>★★★</t>
        </is>
      </c>
      <c r="C83" s="12" t="inlineStr">
        <is>
          <t>Cooking detection: sizzle (mic) + PM spike = range hood automation</t>
        </is>
      </c>
    </row>
    <row r="84" ht="24" customHeight="1">
      <c r="A84" s="7" t="inlineStr">
        <is>
          <t>AIR × WATER</t>
        </is>
      </c>
      <c r="B84" s="99" t="inlineStr">
        <is>
          <t>★★★</t>
        </is>
      </c>
      <c r="C84" s="12" t="inlineStr">
        <is>
          <t>Aeration control: DO in water vs O2/CO2 in headspace</t>
        </is>
      </c>
    </row>
    <row r="85" ht="24" customHeight="1">
      <c r="A85" s="7" t="inlineStr">
        <is>
          <t>BODY × INVISIBLE</t>
        </is>
      </c>
      <c r="B85" s="99" t="inlineStr">
        <is>
          <t>★★★</t>
        </is>
      </c>
      <c r="C85" s="12" t="inlineStr">
        <is>
          <t>Radar vitals ARE invisible sensing; add dosimetry wearables</t>
        </is>
      </c>
    </row>
    <row r="86" ht="24" customHeight="1">
      <c r="A86" s="7" t="inlineStr">
        <is>
          <t>BODY × POWER</t>
        </is>
      </c>
      <c r="B86" s="99" t="inlineStr">
        <is>
          <t>★★★</t>
        </is>
      </c>
      <c r="C86" s="12" t="inlineStr">
        <is>
          <t>Self-powered wearables: harvest + µA design discipline</t>
        </is>
      </c>
    </row>
    <row r="87" ht="24" customHeight="1">
      <c r="A87" s="7" t="inlineStr">
        <is>
          <t>BODY × WATER</t>
        </is>
      </c>
      <c r="B87" s="99" t="inlineStr">
        <is>
          <t>★★★</t>
        </is>
      </c>
      <c r="C87" s="12" t="inlineStr">
        <is>
          <t>Swim/freedive depth + physiology</t>
        </is>
      </c>
    </row>
    <row r="88" ht="24" customHeight="1">
      <c r="A88" s="7" t="inlineStr">
        <is>
          <t>CLIMATE × IDENTITY</t>
        </is>
      </c>
      <c r="B88" s="99" t="inlineStr">
        <is>
          <t>★★★</t>
        </is>
      </c>
      <c r="C88" s="12" t="inlineStr">
        <is>
          <t>Cold-chain provenance: an NFC tag that carries its own temperature history — tap a pallet and read whether the chain ever broke</t>
        </is>
      </c>
    </row>
    <row r="89" ht="24" customHeight="1">
      <c r="A89" s="7" t="inlineStr">
        <is>
          <t>CLIMATE × MOTION</t>
        </is>
      </c>
      <c r="B89" s="99" t="inlineStr">
        <is>
          <t>★★★</t>
        </is>
      </c>
      <c r="C89" s="12" t="inlineStr">
        <is>
          <t>Wind-induced structure sway monitoring</t>
        </is>
      </c>
    </row>
    <row r="90" ht="24" customHeight="1">
      <c r="A90" s="7" t="inlineStr">
        <is>
          <t>CLIMATE × SOUND</t>
        </is>
      </c>
      <c r="B90" s="99" t="inlineStr">
        <is>
          <t>★★★</t>
        </is>
      </c>
      <c r="C90" s="12" t="inlineStr">
        <is>
          <t>Rain intensity by roof acoustics — surprisingly accurate</t>
        </is>
      </c>
    </row>
    <row r="91" ht="24" customHeight="1">
      <c r="A91" s="7" t="inlineStr">
        <is>
          <t>CLIMATE × SPACE</t>
        </is>
      </c>
      <c r="B91" s="99" t="inlineStr">
        <is>
          <t>★★★</t>
        </is>
      </c>
      <c r="C91" s="12" t="inlineStr">
        <is>
          <t>Snow depth + GPS = ski/avalanche field networks</t>
        </is>
      </c>
    </row>
    <row r="92" ht="24" customHeight="1">
      <c r="A92" s="7" t="inlineStr">
        <is>
          <t>EARTH × IDENTITY</t>
        </is>
      </c>
      <c r="B92" s="99" t="inlineStr">
        <is>
          <t>★★★</t>
        </is>
      </c>
      <c r="C92" s="12" t="inlineStr">
        <is>
          <t>Livestock and plot identity: ear tags, tree tags and bed markers that bind soil and health data to one specific animal or plant</t>
        </is>
      </c>
    </row>
    <row r="93" ht="24" customHeight="1">
      <c r="A93" s="7" t="inlineStr">
        <is>
          <t>EARTH × INVISIBLE</t>
        </is>
      </c>
      <c r="B93" s="99" t="inlineStr">
        <is>
          <t>★★★</t>
        </is>
      </c>
      <c r="C93" s="12" t="inlineStr">
        <is>
          <t>Soil nitrate ISE + runoff event science</t>
        </is>
      </c>
    </row>
    <row r="94" ht="24" customHeight="1">
      <c r="A94" s="7" t="inlineStr">
        <is>
          <t>EARTH × MOTION</t>
        </is>
      </c>
      <c r="B94" s="99" t="inlineStr">
        <is>
          <t>★★★</t>
        </is>
      </c>
      <c r="C94" s="12" t="inlineStr">
        <is>
          <t>Tractor/implement telemetry; soil compaction via draft force · Seismic + tilt: landslide and retaining-wall watch</t>
        </is>
      </c>
    </row>
    <row r="95" ht="24" customHeight="1">
      <c r="A95" s="7" t="inlineStr">
        <is>
          <t>EARTH × POWER</t>
        </is>
      </c>
      <c r="B95" s="99" t="inlineStr">
        <is>
          <t>★★★</t>
        </is>
      </c>
      <c r="C95" s="12" t="inlineStr">
        <is>
          <t>Solar-powered field nodes: the default agri architecture · Irrigation pump energy audits</t>
        </is>
      </c>
    </row>
    <row r="96" ht="24" customHeight="1">
      <c r="A96" s="7" t="inlineStr">
        <is>
          <t>EARTH × SOUND</t>
        </is>
      </c>
      <c r="B96" s="99" t="inlineStr">
        <is>
          <t>★★★</t>
        </is>
      </c>
      <c r="C96" s="12" t="inlineStr">
        <is>
          <t>Beehive acoustics: colony state from hum spectra</t>
        </is>
      </c>
    </row>
    <row r="97" ht="24" customHeight="1">
      <c r="A97" s="7" t="inlineStr">
        <is>
          <t>IDENTITY × WATER</t>
        </is>
      </c>
      <c r="B97" s="99" t="inlineStr">
        <is>
          <t>★★★</t>
        </is>
      </c>
      <c r="C97" s="12" t="inlineStr">
        <is>
          <t>Tagged sampling: every sample bottle carries its own NFC record of site, time and conditions — chain of custody without a clipboard</t>
        </is>
      </c>
    </row>
    <row r="98" ht="24" customHeight="1">
      <c r="A98" s="7" t="inlineStr">
        <is>
          <t>INVISIBLE × MOTION</t>
        </is>
      </c>
      <c r="B98" s="99" t="inlineStr">
        <is>
          <t>★★★</t>
        </is>
      </c>
      <c r="C98" s="12" t="inlineStr">
        <is>
          <t>Magnetic anomaly + IMU: indoor positioning fingerprints · Cosmic-ray detector orientation studies</t>
        </is>
      </c>
    </row>
    <row r="99" ht="24" customHeight="1">
      <c r="A99" s="7" t="inlineStr">
        <is>
          <t>INVISIBLE × TOUCH</t>
        </is>
      </c>
      <c r="B99" s="99" t="inlineStr">
        <is>
          <t>★★★</t>
        </is>
      </c>
      <c r="C99" s="12" t="inlineStr">
        <is>
          <t>Inductive through-panel buttons; field-based interfaces</t>
        </is>
      </c>
    </row>
    <row r="100" ht="24" customHeight="1">
      <c r="A100" s="7" t="inlineStr">
        <is>
          <t>INVISIBLE × WATER</t>
        </is>
      </c>
      <c r="B100" s="99" t="inlineStr">
        <is>
          <t>★★★</t>
        </is>
      </c>
      <c r="C100" s="12" t="inlineStr">
        <is>
          <t>Clamp-on ultrasonic flow — metering without plumbing · Neutron-free soil moisture via RF — research frontier</t>
        </is>
      </c>
    </row>
    <row r="101" ht="24" customHeight="1">
      <c r="A101" s="7" t="inlineStr">
        <is>
          <t>LIGHT+VISION × TOUCH</t>
        </is>
      </c>
      <c r="B101" s="99" t="inlineStr">
        <is>
          <t>★★★</t>
        </is>
      </c>
      <c r="C101" s="12" t="inlineStr">
        <is>
          <t>Hover+gaze interfaces; touch-reactive projection</t>
        </is>
      </c>
    </row>
    <row r="102" ht="24" customHeight="1">
      <c r="A102" s="7" t="inlineStr">
        <is>
          <t>MOTION × WATER</t>
        </is>
      </c>
      <c r="B102" s="99" t="inlineStr">
        <is>
          <t>★★★</t>
        </is>
      </c>
      <c r="C102" s="12" t="inlineStr">
        <is>
          <t>Wave height buoys: IMU on water</t>
        </is>
      </c>
    </row>
    <row r="103" ht="24" customHeight="1">
      <c r="A103" s="7" t="inlineStr">
        <is>
          <t>POWER × SOUND</t>
        </is>
      </c>
      <c r="B103" s="99" t="inlineStr">
        <is>
          <t>★★★</t>
        </is>
      </c>
      <c r="C103" s="12" t="inlineStr">
        <is>
          <t>Appliance hum + current draw = redundant state detection</t>
        </is>
      </c>
    </row>
    <row r="104" ht="24" customHeight="1">
      <c r="A104" s="7" t="inlineStr">
        <is>
          <t>POWER × SPACE</t>
        </is>
      </c>
      <c r="B104" s="99" t="inlineStr">
        <is>
          <t>★★★</t>
        </is>
      </c>
      <c r="C104" s="12" t="inlineStr">
        <is>
          <t>EV charger occupancy + energy; per-desk power + presence</t>
        </is>
      </c>
    </row>
    <row r="105" ht="24" customHeight="1">
      <c r="A105" s="7" t="inlineStr">
        <is>
          <t>SOUND × WATER</t>
        </is>
      </c>
      <c r="B105" s="99" t="inlineStr">
        <is>
          <t>★★★</t>
        </is>
      </c>
      <c r="C105" s="12" t="inlineStr">
        <is>
          <t>Hydrophones; drip/flow acoustics for leak hunting</t>
        </is>
      </c>
    </row>
    <row r="106" ht="24" customHeight="1">
      <c r="A106" s="7" t="inlineStr">
        <is>
          <t>SPACE × TOUCH</t>
        </is>
      </c>
      <c r="B106" s="99" t="inlineStr">
        <is>
          <t>★★★</t>
        </is>
      </c>
      <c r="C106" s="12" t="inlineStr">
        <is>
          <t>Hover (ToF) + touch (cap) = two-stage interfaces that feel psychic</t>
        </is>
      </c>
    </row>
    <row r="107" ht="24" customHeight="1">
      <c r="A107" s="7" t="inlineStr">
        <is>
          <t>AIR × TOUCH</t>
        </is>
      </c>
      <c r="B107" s="99" t="inlineStr">
        <is>
          <t>★★</t>
        </is>
      </c>
      <c r="C107" s="12" t="inlineStr">
        <is>
          <t>Breath-on-surface condensation art pieces</t>
        </is>
      </c>
    </row>
    <row r="108" ht="24" customHeight="1">
      <c r="A108" s="7" t="inlineStr">
        <is>
          <t>BODY × EARTH</t>
        </is>
      </c>
      <c r="B108" s="99" t="inlineStr">
        <is>
          <t>★★</t>
        </is>
      </c>
      <c r="C108" s="12" t="inlineStr">
        <is>
          <t>Garden ergonomics is a stretch — but soil work HR zones exist · Horticultural therapy metrics — niche but real</t>
        </is>
      </c>
    </row>
    <row r="109" ht="24" customHeight="1">
      <c r="A109" s="7" t="inlineStr">
        <is>
          <t>CLIMATE × TOUCH</t>
        </is>
      </c>
      <c r="B109" s="99" t="inlineStr">
        <is>
          <t>★★</t>
        </is>
      </c>
      <c r="C109" s="12" t="inlineStr">
        <is>
          <t>Surface wetness/frost plates are touch-adjacent sensing</t>
        </is>
      </c>
    </row>
    <row r="110" ht="24" customHeight="1">
      <c r="A110" s="7" t="inlineStr">
        <is>
          <t>EARTH × TOUCH</t>
        </is>
      </c>
      <c r="B110" s="99" t="inlineStr">
        <is>
          <t>★★</t>
        </is>
      </c>
      <c r="C110" s="12" t="inlineStr">
        <is>
          <t>Leaf-clip turgor IS touch sensing of plants</t>
        </is>
      </c>
    </row>
    <row r="111" ht="24" customHeight="1">
      <c r="A111" s="7" t="inlineStr">
        <is>
          <t>IDENTITY × SOUND</t>
        </is>
      </c>
      <c r="B111" s="99" t="inlineStr">
        <is>
          <t>★★</t>
        </is>
      </c>
      <c r="C111" s="12" t="inlineStr">
        <is>
          <t>Acoustic or voice signature as a weak second factor alongside a tag — interesting, rarely sufficient alone</t>
        </is>
      </c>
    </row>
    <row r="112" ht="24" customHeight="1">
      <c r="A112" s="7" t="inlineStr">
        <is>
          <t>POWER × TOUCH</t>
        </is>
      </c>
      <c r="B112" s="99" t="inlineStr">
        <is>
          <t>★★</t>
        </is>
      </c>
      <c r="C112" s="12" t="inlineStr">
        <is>
          <t>Touch-controlled energy dashboards</t>
        </is>
      </c>
    </row>
  </sheetData>
  <mergeCells count="94">
    <mergeCell ref="C87:V87"/>
    <mergeCell ref="C24:V24"/>
    <mergeCell ref="C107:V107"/>
    <mergeCell ref="C89:V89"/>
    <mergeCell ref="C104:V104"/>
    <mergeCell ref="C79:V79"/>
    <mergeCell ref="C73:V73"/>
    <mergeCell ref="C88:V88"/>
    <mergeCell ref="C26:V26"/>
    <mergeCell ref="C63:V63"/>
    <mergeCell ref="C93:V93"/>
    <mergeCell ref="C50:V50"/>
    <mergeCell ref="C55:V55"/>
    <mergeCell ref="C105:V105"/>
    <mergeCell ref="C43:V43"/>
    <mergeCell ref="C36:V36"/>
    <mergeCell ref="C67:V67"/>
    <mergeCell ref="C28:V28"/>
    <mergeCell ref="A2:V2"/>
    <mergeCell ref="C37:V37"/>
    <mergeCell ref="C69:V69"/>
    <mergeCell ref="C96:V96"/>
    <mergeCell ref="C78:V78"/>
    <mergeCell ref="C92:V92"/>
    <mergeCell ref="C30:V30"/>
    <mergeCell ref="C62:V62"/>
    <mergeCell ref="C98:V98"/>
    <mergeCell ref="A20:V20"/>
    <mergeCell ref="C64:V64"/>
    <mergeCell ref="C54:V54"/>
    <mergeCell ref="C41:V41"/>
    <mergeCell ref="C56:V56"/>
    <mergeCell ref="C90:V90"/>
    <mergeCell ref="C71:V71"/>
    <mergeCell ref="C27:V27"/>
    <mergeCell ref="C76:V76"/>
    <mergeCell ref="C110:V110"/>
    <mergeCell ref="C82:V82"/>
    <mergeCell ref="C66:V66"/>
    <mergeCell ref="C53:V53"/>
    <mergeCell ref="C102:V102"/>
    <mergeCell ref="C111:V111"/>
    <mergeCell ref="C34:V34"/>
    <mergeCell ref="C86:V86"/>
    <mergeCell ref="C68:V68"/>
    <mergeCell ref="C83:V83"/>
    <mergeCell ref="C108:V108"/>
    <mergeCell ref="C58:V58"/>
    <mergeCell ref="C45:V45"/>
    <mergeCell ref="C97:V97"/>
    <mergeCell ref="C29:V29"/>
    <mergeCell ref="C100:V100"/>
    <mergeCell ref="C94:V94"/>
    <mergeCell ref="C65:V65"/>
    <mergeCell ref="C109:V109"/>
    <mergeCell ref="C47:V47"/>
    <mergeCell ref="C44:V44"/>
    <mergeCell ref="C84:V84"/>
    <mergeCell ref="C22:V22"/>
    <mergeCell ref="C31:V31"/>
    <mergeCell ref="C80:V80"/>
    <mergeCell ref="C40:V40"/>
    <mergeCell ref="C51:V51"/>
    <mergeCell ref="C95:V95"/>
    <mergeCell ref="C60:V60"/>
    <mergeCell ref="C70:V70"/>
    <mergeCell ref="C23:V23"/>
    <mergeCell ref="C106:V106"/>
    <mergeCell ref="C91:V91"/>
    <mergeCell ref="C57:V57"/>
    <mergeCell ref="C49:V49"/>
    <mergeCell ref="C101:V101"/>
    <mergeCell ref="C77:V77"/>
    <mergeCell ref="C33:V33"/>
    <mergeCell ref="C42:V42"/>
    <mergeCell ref="C74:V74"/>
    <mergeCell ref="C35:V35"/>
    <mergeCell ref="C25:V25"/>
    <mergeCell ref="C103:V103"/>
    <mergeCell ref="C85:V85"/>
    <mergeCell ref="C112:V112"/>
    <mergeCell ref="C99:V99"/>
    <mergeCell ref="C75:V75"/>
    <mergeCell ref="C59:V59"/>
    <mergeCell ref="C46:V46"/>
    <mergeCell ref="C52:V52"/>
    <mergeCell ref="A3:V3"/>
    <mergeCell ref="C61:V61"/>
    <mergeCell ref="C39:V39"/>
    <mergeCell ref="C48:V48"/>
    <mergeCell ref="C72:V72"/>
    <mergeCell ref="C32:V32"/>
    <mergeCell ref="C38:V38"/>
    <mergeCell ref="C81:V81"/>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worksheet>
</file>

<file path=xl/worksheets/sheet16.xml><?xml version="1.0" encoding="utf-8"?>
<worksheet xmlns="http://schemas.openxmlformats.org/spreadsheetml/2006/main">
  <sheetPr>
    <tabColor rgb="00C8853A"/>
    <outlinePr summaryBelow="1" summaryRight="1"/>
    <pageSetUpPr/>
  </sheetPr>
  <dimension ref="A1:V92"/>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24" customWidth="1" min="2" max="2"/>
    <col width="52" customWidth="1" min="3" max="3"/>
    <col width="34" customWidth="1" min="4" max="4"/>
    <col width="24" customWidth="1" min="5" max="5"/>
    <col width="9" customWidth="1" min="6" max="6"/>
    <col width="10" customWidth="1" min="7" max="7"/>
    <col width="9" customWidth="1" min="8" max="8"/>
    <col width="20" customWidth="1" min="9" max="9"/>
    <col width="44" customWidth="1" min="10" max="10"/>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1"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INVENTION SEEDS — buildable concepts</t>
        </is>
      </c>
      <c r="B2" s="4" t="n"/>
      <c r="C2" s="4" t="n"/>
      <c r="D2" s="4" t="n"/>
      <c r="E2" s="4" t="n"/>
      <c r="F2" s="4" t="n"/>
      <c r="G2" s="4" t="n"/>
      <c r="H2" s="4" t="n"/>
      <c r="I2" s="4" t="n"/>
      <c r="J2" s="4" t="n"/>
    </row>
    <row r="3" ht="26" customHeight="1">
      <c r="A3" s="5" t="inlineStr">
        <is>
          <t>Each is real enough to start this weekend. The 'Sensors 1× each' column is COMPUTED live from the catalog's real prices — one of every part listed — so it can't drift the way v5's hand-typed BOMs did. Where the stated ≈BOM is much higher, the build needs several of something, or the non-sensor parts dominate.</t>
        </is>
      </c>
    </row>
    <row r="4">
      <c r="A4" s="24" t="inlineStr">
        <is>
          <t>#</t>
        </is>
      </c>
      <c r="B4" s="24" t="inlineStr">
        <is>
          <t>Invention</t>
        </is>
      </c>
      <c r="C4" s="24" t="inlineStr">
        <is>
          <t>The pitch</t>
        </is>
      </c>
      <c r="D4" s="24" t="inlineStr">
        <is>
          <t>Parts from the catalog</t>
        </is>
      </c>
      <c r="E4" s="24" t="inlineStr">
        <is>
          <t>Other parts</t>
        </is>
      </c>
      <c r="F4" s="24" t="inlineStr">
        <is>
          <t>≈BOM</t>
        </is>
      </c>
      <c r="G4" s="24" t="inlineStr">
        <is>
          <t>Sensors 1× each</t>
        </is>
      </c>
      <c r="H4" s="24" t="inlineStr">
        <is>
          <t>Difficulty</t>
        </is>
      </c>
      <c r="I4" s="24" t="inlineStr">
        <is>
          <t>Themes</t>
        </is>
      </c>
      <c r="J4" s="24" t="inlineStr">
        <is>
          <t>Why it works</t>
        </is>
      </c>
    </row>
    <row r="5" ht="54" customHeight="1">
      <c r="A5" s="29" t="n">
        <v>1</v>
      </c>
      <c r="B5" s="100" t="inlineStr">
        <is>
          <t>Contactless Sleep Lab</t>
        </is>
      </c>
      <c r="C5" s="12" t="inlineStr">
        <is>
          <t>A nightstand box that reconstructs sleep quality with nothing worn: radar breathing + presence, CO2, light, sound and temperature, fused into a morning report.</t>
        </is>
      </c>
      <c r="D5" s="12" t="inlineStr">
        <is>
          <t>SHT41 humidity + temp · SCD41 true CO2 · VEML7700 high-accuracy lux · LD2410 mmWave presence · Seeed MR60BHA2 vital-sign radar · INMP441 I2S MEMS mic</t>
        </is>
      </c>
      <c r="E5" s="12" t="inlineStr">
        <is>
          <t>ESP32-S3, ePaper morning card, 3D case</t>
        </is>
      </c>
      <c r="F5" s="29" t="inlineStr">
        <is>
          <t>$75</t>
        </is>
      </c>
      <c r="G5" s="29" t="inlineStr">
        <is>
          <t>$69</t>
        </is>
      </c>
      <c r="H5" s="29" t="n">
        <v>3</v>
      </c>
      <c r="I5" s="12" t="inlineStr">
        <is>
          <t>Health, Home</t>
        </is>
      </c>
      <c r="J5" s="12" t="inlineStr">
        <is>
          <t>Radar vitals finally cheap; wearables annoy people; multi-signal fusion is where hobby beats commercial.</t>
        </is>
      </c>
    </row>
    <row r="6" ht="54" customHeight="1">
      <c r="A6" s="29" t="n">
        <v>2</v>
      </c>
      <c r="B6" s="100" t="inlineStr">
        <is>
          <t>Whole-House Leak Brain</t>
        </is>
      </c>
      <c r="C6" s="12" t="inlineStr">
        <is>
          <t>Flow meter on the main + leak ropes under every appliance + mmWave occupancy: water flowing while nobody's home auto-closes a motorised valve and texts you.</t>
        </is>
      </c>
      <c r="D6" s="12" t="inlineStr">
        <is>
          <t>LD2410 mmWave presence · YF-S201 flow sensor · Water leak rope sensor</t>
        </is>
      </c>
      <c r="E6" s="12" t="inlineStr">
        <is>
          <t>Motorised ball valve, ESP32, relay</t>
        </is>
      </c>
      <c r="F6" s="29" t="inlineStr">
        <is>
          <t>$90</t>
        </is>
      </c>
      <c r="G6" s="29" t="inlineStr">
        <is>
          <t>$20</t>
        </is>
      </c>
      <c r="H6" s="29" t="n">
        <v>3</v>
      </c>
      <c r="I6" s="12" t="inlineStr">
        <is>
          <t>Water, Safety, Home</t>
        </is>
      </c>
      <c r="J6" s="12" t="inlineStr">
        <is>
          <t>Water damage is the #1 home insurance claim; commercial systems cost $600+.</t>
        </is>
      </c>
    </row>
    <row r="7" ht="54" customHeight="1">
      <c r="A7" s="29" t="n">
        <v>3</v>
      </c>
      <c r="B7" s="100" t="inlineStr">
        <is>
          <t>CO2 Honesty Network</t>
        </is>
      </c>
      <c r="C7" s="12" t="inlineStr">
        <is>
          <t>A fleet of CO2 'traffic lights' for school/office rooms with a public dashboard — ventilation behaviour changes when the number is on the wall.</t>
        </is>
      </c>
      <c r="D7" s="12" t="inlineStr">
        <is>
          <t>SHT41 humidity + temp · SCD41 true CO2</t>
        </is>
      </c>
      <c r="E7" s="12" t="inlineStr">
        <is>
          <t>ESP32-C3 ×6, WS2812 rings, MQTT server</t>
        </is>
      </c>
      <c r="F7" s="29" t="inlineStr">
        <is>
          <t>$200</t>
        </is>
      </c>
      <c r="G7" s="29" t="inlineStr">
        <is>
          <t>$31</t>
        </is>
      </c>
      <c r="H7" s="29" t="n">
        <v>2</v>
      </c>
      <c r="I7" s="12" t="inlineStr">
        <is>
          <t>Air, Health, Home</t>
        </is>
      </c>
      <c r="J7" s="12" t="inlineStr">
        <is>
          <t>Post-pandemic ventilation awareness is permanent; one commercial monitor costs more than this fleet.</t>
        </is>
      </c>
    </row>
    <row r="8" ht="54" customHeight="1">
      <c r="A8" s="29" t="n">
        <v>4</v>
      </c>
      <c r="B8" s="100" t="inlineStr">
        <is>
          <t>Beehive Telemetry Stack</t>
        </is>
      </c>
      <c r="C8" s="12" t="inlineStr">
        <is>
          <t>Hive weight (nectar flow!), internal temp/RH, entrance traffic (IR beam pair), and acoustic colony-state — beekeeping's four vital signs on solar.</t>
        </is>
      </c>
      <c r="D8" s="12" t="inlineStr">
        <is>
          <t>SHT31 weatherproof probe · INMP441 I2S MEMS mic · HX711 + load cell</t>
        </is>
      </c>
      <c r="E8" s="12" t="inlineStr">
        <is>
          <t>Solar+LiPo, ESP32, LoRa optional</t>
        </is>
      </c>
      <c r="F8" s="29" t="inlineStr">
        <is>
          <t>$85</t>
        </is>
      </c>
      <c r="G8" s="29" t="inlineStr">
        <is>
          <t>$20</t>
        </is>
      </c>
      <c r="H8" s="29" t="n">
        <v>3</v>
      </c>
      <c r="I8" s="12" t="inlineStr">
        <is>
          <t>Grow, Wild, Sound</t>
        </is>
      </c>
      <c r="J8" s="12" t="inlineStr">
        <is>
          <t>Weight curves predict swarming and harvest; acoustic colony analysis is publishable hobby science.</t>
        </is>
      </c>
    </row>
    <row r="9" ht="54" customHeight="1">
      <c r="A9" s="29" t="n">
        <v>5</v>
      </c>
      <c r="B9" s="100" t="inlineStr">
        <is>
          <t>Tremor-Adaptive Utensil</t>
        </is>
      </c>
      <c r="C9" s="12" t="inlineStr">
        <is>
          <t>IMU senses hand tremor frequency; a small gimbal counter-moves the spoon head in antiphase. Eating with dignity, open-sourced.</t>
        </is>
      </c>
      <c r="D9" s="12" t="inlineStr">
        <is>
          <t>LSM6DSOX ML-core IMU · BNO086 high-perf fusion IMU</t>
        </is>
      </c>
      <c r="E9" s="12" t="inlineStr">
        <is>
          <t>2x micro servos, ESP32-C3, LiPo, printed gimbal</t>
        </is>
      </c>
      <c r="F9" s="29" t="inlineStr">
        <is>
          <t>$60</t>
        </is>
      </c>
      <c r="G9" s="29" t="inlineStr">
        <is>
          <t>$32</t>
        </is>
      </c>
      <c r="H9" s="29" t="n">
        <v>5</v>
      </c>
      <c r="I9" s="12" t="inlineStr">
        <is>
          <t>Health, Robots</t>
        </is>
      </c>
      <c r="J9" s="12" t="inlineStr">
        <is>
          <t>Commercial version costs $200+; the control loop is a beautiful solved-but-not-shared problem.</t>
        </is>
      </c>
    </row>
    <row r="10" ht="54" customHeight="1">
      <c r="A10" s="29" t="n">
        <v>6</v>
      </c>
      <c r="B10" s="100" t="inlineStr">
        <is>
          <t>Frost Oracle for Gardeners</t>
        </is>
      </c>
      <c r="C10" s="12" t="inlineStr">
        <is>
          <t>Sky IR temp (radiative cooling) + surface wetness plate + air temp/RH predicts ground frost hours before air-temperature forecasts do — 'cover the tomatoes NOW' as a text.</t>
        </is>
      </c>
      <c r="D10" s="12" t="inlineStr">
        <is>
          <t>SHT41 humidity + temp · BMP390 precision barometer · MLX90614 IR thermometer · Capacitive rain/condensation plate</t>
        </is>
      </c>
      <c r="E10" s="12" t="inlineStr">
        <is>
          <t>ESP32, solar stake</t>
        </is>
      </c>
      <c r="F10" s="29" t="inlineStr">
        <is>
          <t>$45</t>
        </is>
      </c>
      <c r="G10" s="29" t="inlineStr">
        <is>
          <t>$27</t>
        </is>
      </c>
      <c r="H10" s="29" t="n">
        <v>3</v>
      </c>
      <c r="I10" s="12" t="inlineStr">
        <is>
          <t>Grow, Wild, Invisible</t>
        </is>
      </c>
      <c r="J10" s="12" t="inlineStr">
        <is>
          <t>Radiative frost beats forecasts locally; the sky-temperature trick feels like sorcery and works.</t>
        </is>
      </c>
    </row>
    <row r="11" ht="54" customHeight="1">
      <c r="A11" s="29" t="n">
        <v>7</v>
      </c>
      <c r="B11" s="100" t="inlineStr">
        <is>
          <t>Appliance Fingerprint Meter</t>
        </is>
      </c>
      <c r="C11" s="12" t="inlineStr">
        <is>
          <t>One CT clamp + ML disaggregation: the house learns each appliance's electrical signature and itemises your bill per device.</t>
        </is>
      </c>
      <c r="D11" s="12" t="inlineStr">
        <is>
          <t>SCT-013 CT clamp · ZMPT101B voltage sensor</t>
        </is>
      </c>
      <c r="E11" s="12" t="inlineStr">
        <is>
          <t>ESP32-S3 (FFT), MQTT, dashboard</t>
        </is>
      </c>
      <c r="F11" s="29" t="inlineStr">
        <is>
          <t>$30</t>
        </is>
      </c>
      <c r="G11" s="29" t="inlineStr">
        <is>
          <t>$13</t>
        </is>
      </c>
      <c r="H11" s="29" t="n">
        <v>4</v>
      </c>
      <c r="I11" s="12" t="inlineStr">
        <is>
          <t>Energy, Home, MachineHealth</t>
        </is>
      </c>
      <c r="J11" s="12" t="inlineStr">
        <is>
          <t>NILM is a famous research problem now feasible on-device; utility smart meters won't give you this.</t>
        </is>
      </c>
    </row>
    <row r="12" ht="54" customHeight="1">
      <c r="A12" s="29" t="n">
        <v>8</v>
      </c>
      <c r="B12" s="100" t="inlineStr">
        <is>
          <t>Echolocation Belt</t>
        </is>
      </c>
      <c r="C12" s="12" t="inlineStr">
        <is>
          <t>Five ultrasonic rangers around a belt map to five haptic motors: distance becomes graded pressure around the waist. Sensory substitution for blind users — and an uncanny sixth sense for anyone.</t>
        </is>
      </c>
      <c r="D12" s="12" t="inlineStr">
        <is>
          <t>HC-SR04 ultrasonic</t>
        </is>
      </c>
      <c r="E12" s="12" t="inlineStr">
        <is>
          <t>LRA motors ×5, DRV2605, ESP32, battery</t>
        </is>
      </c>
      <c r="F12" s="29" t="inlineStr">
        <is>
          <t>$55</t>
        </is>
      </c>
      <c r="G12" s="29" t="inlineStr">
        <is>
          <t>$2</t>
        </is>
      </c>
      <c r="H12" s="29" t="n">
        <v>3</v>
      </c>
      <c r="I12" s="12" t="inlineStr">
        <is>
          <t>Health, Robots, Invisible</t>
        </is>
      </c>
      <c r="J12" s="12" t="inlineStr">
        <is>
          <t>Documented to work in studies; parts cost collapsed from $1000s to $55.</t>
        </is>
      </c>
    </row>
    <row r="13" ht="54" customHeight="1">
      <c r="A13" s="29" t="n">
        <v>9</v>
      </c>
      <c r="B13" s="100" t="inlineStr">
        <is>
          <t>Open Gamma Spectrometer</t>
        </is>
      </c>
      <c r="C13" s="12" t="inlineStr">
        <is>
          <t>CsI crystal + SiPM + careful analog = identify isotopes BY NAME: uranium glaze, thorium mantles, banana potassium. Desktop nuclear forensics.</t>
        </is>
      </c>
      <c r="D13" s="12" t="inlineStr">
        <is>
          <t>Geiger counter kit</t>
        </is>
      </c>
      <c r="E13" s="12" t="inlineStr">
        <is>
          <t>ESP32-S3, touch TFT spectrum display, lead bricks</t>
        </is>
      </c>
      <c r="F13" s="29" t="inlineStr">
        <is>
          <t>$180</t>
        </is>
      </c>
      <c r="G13" s="29" t="inlineStr">
        <is>
          <t>$25</t>
        </is>
      </c>
      <c r="H13" s="29" t="n">
        <v>5</v>
      </c>
      <c r="I13" s="12" t="inlineStr">
        <is>
          <t>Invisible, Play, Safety</t>
        </is>
      </c>
      <c r="J13" s="12" t="inlineStr">
        <is>
          <t>Open Gamma Detector project blazed the trail; SiPMs made photomultipliers obsolete at hobby scale.</t>
        </is>
      </c>
    </row>
    <row r="14" ht="54" customHeight="1">
      <c r="A14" s="29" t="n">
        <v>10</v>
      </c>
      <c r="B14" s="100" t="inlineStr">
        <is>
          <t>Mushroom Fruiting Autopilot</t>
        </is>
      </c>
      <c r="C14" s="12" t="inlineStr">
        <is>
          <t>RH held at 90%, CO2 below 800ppm, light on schedule — a tote-sized controlled-environment chamber that turns spawn bags into reliable harvests.</t>
        </is>
      </c>
      <c r="D14" s="12" t="inlineStr">
        <is>
          <t>SHT31 weatherproof probe · SCD41 true CO2 · BH1750 lux sensor</t>
        </is>
      </c>
      <c r="E14" s="12" t="inlineStr">
        <is>
          <t>Ultrasonic mister, fans, LED, relays, ESP32</t>
        </is>
      </c>
      <c r="F14" s="29" t="inlineStr">
        <is>
          <t>$70</t>
        </is>
      </c>
      <c r="G14" s="29" t="inlineStr">
        <is>
          <t>$40</t>
        </is>
      </c>
      <c r="H14" s="29" t="n">
        <v>2</v>
      </c>
      <c r="I14" s="12" t="inlineStr">
        <is>
          <t>Grow, Air, Home</t>
        </is>
      </c>
      <c r="J14" s="12" t="inlineStr">
        <is>
          <t>Mushrooms are the easiest 'controlled agriculture win'; tight control = visible yield difference.</t>
        </is>
      </c>
    </row>
    <row r="15" ht="54" customHeight="1">
      <c r="A15" s="29" t="n">
        <v>11</v>
      </c>
      <c r="B15" s="100" t="inlineStr">
        <is>
          <t>Driveway Speed Witness</t>
        </is>
      </c>
      <c r="C15" s="12" t="inlineStr">
        <is>
          <t>Two piezo strips (or beam pairs) 1m apart timestamp every passing car's speed — the anonymized dataset that gets a speed bump approved.</t>
        </is>
      </c>
      <c r="D15" s="12" t="inlineStr">
        <is>
          <t>Weight-in-motion: piezo cable · Photoelectric beam sensor E18-D80NK</t>
        </is>
      </c>
      <c r="E15" s="12" t="inlineStr">
        <is>
          <t>ESP32, solar, LoRa to house</t>
        </is>
      </c>
      <c r="F15" s="29" t="inlineStr">
        <is>
          <t>$50</t>
        </is>
      </c>
      <c r="G15" s="29" t="inlineStr">
        <is>
          <t>$18</t>
        </is>
      </c>
      <c r="H15" s="29" t="n">
        <v>4</v>
      </c>
      <c r="I15" s="12" t="inlineStr">
        <is>
          <t>Safety, Wild, Invisible</t>
        </is>
      </c>
      <c r="J15" s="12" t="inlineStr">
        <is>
          <t>Cities respond to data, not complaints; this is civic tech with a hardware heart.</t>
        </is>
      </c>
    </row>
    <row r="16" ht="54" customHeight="1">
      <c r="A16" s="29" t="n">
        <v>12</v>
      </c>
      <c r="B16" s="100" t="inlineStr">
        <is>
          <t>Plant-Direct Thirst Sensor</t>
        </is>
      </c>
      <c r="C16" s="12" t="inlineStr">
        <is>
          <t>An IR leaf-clip reads leaf thickness (turgor) — the plant ITSELF reports water status hours before wilting, making soil probes look medieval.</t>
        </is>
      </c>
      <c r="D16" s="12" t="inlineStr">
        <is>
          <t>SHT41 humidity + temp · Capacitive soil moisture v2 · Frustration-free moisture: plant leaf clip</t>
        </is>
      </c>
      <c r="E16" s="12" t="inlineStr">
        <is>
          <t>ESP32-C3, pump + relay</t>
        </is>
      </c>
      <c r="F16" s="29" t="inlineStr">
        <is>
          <t>$25</t>
        </is>
      </c>
      <c r="G16" s="29" t="inlineStr">
        <is>
          <t>$13</t>
        </is>
      </c>
      <c r="H16" s="29" t="n">
        <v>3</v>
      </c>
      <c r="I16" s="12" t="inlineStr">
        <is>
          <t>Grow, Invisible, Play</t>
        </is>
      </c>
      <c r="J16" s="12" t="inlineStr">
        <is>
          <t>Published technique, near-zero hobby adoption — wide-open space to own.</t>
        </is>
      </c>
    </row>
    <row r="17" ht="54" customHeight="1">
      <c r="A17" s="29" t="n">
        <v>13</v>
      </c>
      <c r="B17" s="100" t="inlineStr">
        <is>
          <t>Workshop Tool-State Dashboard</t>
        </is>
      </c>
      <c r="C17" s="12" t="inlineStr">
        <is>
          <t>Current clamps + vibration pucks on every machine: live wall display of what's running, idle, jammed or left on — plus per-tool runtime for maintenance.</t>
        </is>
      </c>
      <c r="D17" s="12" t="inlineStr">
        <is>
          <t>SW-420 vibration switch · MLX90614 IR thermometer · ACS712 Hall current</t>
        </is>
      </c>
      <c r="E17" s="12" t="inlineStr">
        <is>
          <t>ESP32 ×3, wall TFT, MQTT</t>
        </is>
      </c>
      <c r="F17" s="29" t="inlineStr">
        <is>
          <t>$80</t>
        </is>
      </c>
      <c r="G17" s="29" t="inlineStr">
        <is>
          <t>$12</t>
        </is>
      </c>
      <c r="H17" s="29" t="n">
        <v>2</v>
      </c>
      <c r="I17" s="12" t="inlineStr">
        <is>
          <t>MachineHealth, Safety, Energy</t>
        </is>
      </c>
      <c r="J17" s="12" t="inlineStr">
        <is>
          <t>Makerspaces need 'who left the compressor on' answers; utilisation data justifies tool purchases.</t>
        </is>
      </c>
    </row>
    <row r="18" ht="54" customHeight="1">
      <c r="A18" s="29" t="n">
        <v>14</v>
      </c>
      <c r="B18" s="100" t="inlineStr">
        <is>
          <t>River Health Sentinel</t>
        </is>
      </c>
      <c r="C18" s="12" t="inlineStr">
        <is>
          <t>Solar node in a stream: temp, turbidity, conductivity, level — storm-event chemistry that catches polluters and feeds open data.</t>
        </is>
      </c>
      <c r="D18" s="12" t="inlineStr">
        <is>
          <t>JSN-SR04T waterproof ultrasonic · Strain gauge + amp · DS18B20 soil temp spear · EC / TDS sensor · Turbidity sensor</t>
        </is>
      </c>
      <c r="E18" s="12" t="inlineStr">
        <is>
          <t>Solar+LiPo, LoRa, mounting</t>
        </is>
      </c>
      <c r="F18" s="29" t="inlineStr">
        <is>
          <t>$95</t>
        </is>
      </c>
      <c r="G18" s="29" t="inlineStr">
        <is>
          <t>$39</t>
        </is>
      </c>
      <c r="H18" s="29" t="n">
        <v>3</v>
      </c>
      <c r="I18" s="12" t="inlineStr">
        <is>
          <t>Water, Wild, Safety</t>
        </is>
      </c>
      <c r="J18" s="12" t="inlineStr">
        <is>
          <t>Regulators sample monthly; storms pollute hourly. Continuous beats periodic.</t>
        </is>
      </c>
    </row>
    <row r="19" ht="54" customHeight="1">
      <c r="A19" s="29" t="n">
        <v>15</v>
      </c>
      <c r="B19" s="100" t="inlineStr">
        <is>
          <t>Magic Doorway Counter</t>
        </is>
      </c>
      <c r="C19" s="12" t="inlineStr">
        <is>
          <t>VL53L1X with two ranging zones = entry/exit direction. Anonymous, cheap, accurate occupancy for any room or shop.</t>
        </is>
      </c>
      <c r="D19" s="12" t="inlineStr">
        <is>
          <t>VL53L0X ToF laser</t>
        </is>
      </c>
      <c r="E19" s="12" t="inlineStr">
        <is>
          <t>ESP32-C3, tiny case</t>
        </is>
      </c>
      <c r="F19" s="29" t="inlineStr">
        <is>
          <t>$18</t>
        </is>
      </c>
      <c r="G19" s="29" t="inlineStr">
        <is>
          <t>$5</t>
        </is>
      </c>
      <c r="H19" s="29" t="n">
        <v>2</v>
      </c>
      <c r="I19" s="12" t="inlineStr">
        <is>
          <t>Motion, Home, Safety</t>
        </is>
      </c>
      <c r="J19" s="12" t="inlineStr">
        <is>
          <t>Camera-free counts dodge every privacy objection; commercial counters cost $300+.</t>
        </is>
      </c>
    </row>
    <row r="20" ht="54" customHeight="1">
      <c r="A20" s="29" t="n">
        <v>16</v>
      </c>
      <c r="B20" s="100" t="inlineStr">
        <is>
          <t>Cat Door of Judgement</t>
        </is>
      </c>
      <c r="C20" s="12" t="inlineStr">
        <is>
          <t>HuskyLens face-recognises YOUR cat (and rejects intruders + prey-in-mouth via a second profile) before unlocking the flap.</t>
        </is>
      </c>
      <c r="D20" s="12" t="inlineStr">
        <is>
          <t>Reed switch · HuskyLens AI camera · 125kHz RDM6300 RFID</t>
        </is>
      </c>
      <c r="E20" s="12" t="inlineStr">
        <is>
          <t>Servo latch, ESP32, IR illuminator</t>
        </is>
      </c>
      <c r="F20" s="29" t="inlineStr">
        <is>
          <t>$75</t>
        </is>
      </c>
      <c r="G20" s="29" t="inlineStr">
        <is>
          <t>$48</t>
        </is>
      </c>
      <c r="H20" s="29" t="n">
        <v>3</v>
      </c>
      <c r="I20" s="12" t="inlineStr">
        <is>
          <t>Home, Play, Robots</t>
        </is>
      </c>
      <c r="J20" s="12" t="inlineStr">
        <is>
          <t>The prey-detection feature alone (Flappie raised $M for this) is buildable in a weekend now.</t>
        </is>
      </c>
    </row>
    <row r="21" ht="54" customHeight="1">
      <c r="A21" s="29" t="n">
        <v>17</v>
      </c>
      <c r="B21" s="100" t="inlineStr">
        <is>
          <t>Compressed-Air Leak Wand</t>
        </is>
      </c>
      <c r="C21" s="12" t="inlineStr">
        <is>
          <t>A parabolic 40kHz ear with heterodyne audio out: sweep the workshop, HEAR every leak whistle. Each leak found pays for the tool.</t>
        </is>
      </c>
      <c r="D21" s="12" t="inlineStr">
        <is>
          <t>Bat/dolphin: 40kHz ranging array</t>
        </is>
      </c>
      <c r="E21" s="12" t="inlineStr">
        <is>
          <t>Parabolic dish, headphone amp, ESP32, dial</t>
        </is>
      </c>
      <c r="F21" s="29" t="inlineStr">
        <is>
          <t>$35</t>
        </is>
      </c>
      <c r="G21" s="29" t="inlineStr">
        <is>
          <t>$8</t>
        </is>
      </c>
      <c r="H21" s="29" t="n">
        <v>4</v>
      </c>
      <c r="I21" s="12" t="inlineStr">
        <is>
          <t>MachineHealth, Energy, Invisible</t>
        </is>
      </c>
      <c r="J21" s="12" t="inlineStr">
        <is>
          <t>Commercial ultrasonic leak detectors are $400-3000; physics is identical.</t>
        </is>
      </c>
    </row>
    <row r="22" ht="54" customHeight="1">
      <c r="A22" s="29" t="n">
        <v>18</v>
      </c>
      <c r="B22" s="100" t="inlineStr">
        <is>
          <t>Circadian Light Butler</t>
        </is>
      </c>
      <c r="C22" s="12" t="inlineStr">
        <is>
          <t>Melanopic-aware sensing (OPT4048) drives your smart bulbs through a sunset curve matched to YOUR room's real light — sleep hygiene on autopilot.</t>
        </is>
      </c>
      <c r="D22" s="12" t="inlineStr">
        <is>
          <t>VEML7700 high-accuracy lux · OPT4048 tristimulus color · LD2410 mmWave presence</t>
        </is>
      </c>
      <c r="E22" s="12" t="inlineStr">
        <is>
          <t>ESP32, bulb API integration</t>
        </is>
      </c>
      <c r="F22" s="29" t="inlineStr">
        <is>
          <t>$35</t>
        </is>
      </c>
      <c r="G22" s="29" t="inlineStr">
        <is>
          <t>$19</t>
        </is>
      </c>
      <c r="H22" s="29" t="n">
        <v>2</v>
      </c>
      <c r="I22" s="12" t="inlineStr">
        <is>
          <t>Light, Health, Home</t>
        </is>
      </c>
      <c r="J22" s="12" t="inlineStr">
        <is>
          <t>Circadian science is mainstream; no consumer product closes the loop with a real color sensor.</t>
        </is>
      </c>
    </row>
    <row r="23" ht="54" customHeight="1">
      <c r="A23" s="29" t="n">
        <v>19</v>
      </c>
      <c r="B23" s="100" t="inlineStr">
        <is>
          <t>Kiln &amp; Forge Black Box</t>
        </is>
      </c>
      <c r="C23" s="12" t="inlineStr">
        <is>
          <t>Full firing-curve logging with thermocouples + anomaly detection that predicts element burnout before a ruined load.</t>
        </is>
      </c>
      <c r="D23" s="12" t="inlineStr">
        <is>
          <t>MAX31855 thermocouple amp · ACS712 Hall current</t>
        </is>
      </c>
      <c r="E23" s="12" t="inlineStr">
        <is>
          <t>ESP32, SD, TFT curve display, SSR for control</t>
        </is>
      </c>
      <c r="F23" s="29" t="inlineStr">
        <is>
          <t>$70</t>
        </is>
      </c>
      <c r="G23" s="29" t="inlineStr">
        <is>
          <t>$18</t>
        </is>
      </c>
      <c r="H23" s="29" t="n">
        <v>3</v>
      </c>
      <c r="I23" s="12" t="inlineStr">
        <is>
          <t>MachineHealth, Play, Safety</t>
        </is>
      </c>
      <c r="J23" s="12" t="inlineStr">
        <is>
          <t>Kiln controllers are ancient and overpriced; element-failure prediction (current+temp drift) is novel.</t>
        </is>
      </c>
    </row>
    <row r="24" ht="54" customHeight="1">
      <c r="A24" s="29" t="n">
        <v>20</v>
      </c>
      <c r="B24" s="100" t="inlineStr">
        <is>
          <t>Pollution Exposure Badge</t>
        </is>
      </c>
      <c r="C24" s="12" t="inlineStr">
        <is>
          <t>Wearable PM + VOC + GPS: a heatmap of YOUR personal air, block by block. The commute data that changes which street you bike on.</t>
        </is>
      </c>
      <c r="D24" s="12" t="inlineStr">
        <is>
          <t>SGP40 VOC index · NEO-6M GPS</t>
        </is>
      </c>
      <c r="E24" s="12" t="inlineStr">
        <is>
          <t>ESP32-C3, LiPo, clip case, SD</t>
        </is>
      </c>
      <c r="F24" s="29" t="inlineStr">
        <is>
          <t>$70</t>
        </is>
      </c>
      <c r="G24" s="29" t="inlineStr">
        <is>
          <t>$20</t>
        </is>
      </c>
      <c r="H24" s="29" t="n">
        <v>3</v>
      </c>
      <c r="I24" s="12" t="inlineStr">
        <is>
          <t>Air, Health, Wild</t>
        </is>
      </c>
      <c r="J24" s="12" t="inlineStr">
        <is>
          <t>Personal exposure ≠ city-average; this gap is invisible until someone wears the sensor.</t>
        </is>
      </c>
    </row>
    <row r="25" ht="54" customHeight="1">
      <c r="A25" s="29" t="n">
        <v>21</v>
      </c>
      <c r="B25" s="100" t="inlineStr">
        <is>
          <t>Fermentation Mission Control</t>
        </is>
      </c>
      <c r="C25" s="12" t="inlineStr">
        <is>
          <t>Airlock CO2 flow (yeast heartbeat), gravity-via-tilt (floating IMU), temp control: brewing telemetry that sees stalls hours early.</t>
        </is>
      </c>
      <c r="D25" s="12" t="inlineStr">
        <is>
          <t>ENS160 air quality · MPU-6050 6-axis IMU · DS18B20 soil temp spear</t>
        </is>
      </c>
      <c r="E25" s="12" t="inlineStr">
        <is>
          <t>ESP32, heat belt + relay, dashboards</t>
        </is>
      </c>
      <c r="F25" s="29" t="inlineStr">
        <is>
          <t>$60</t>
        </is>
      </c>
      <c r="G25" s="29" t="inlineStr">
        <is>
          <t>$16</t>
        </is>
      </c>
      <c r="H25" s="29" t="n">
        <v>3</v>
      </c>
      <c r="I25" s="12" t="inlineStr">
        <is>
          <t>Grow, Play, MachineHealth</t>
        </is>
      </c>
      <c r="J25" s="12" t="inlineStr">
        <is>
          <t>iSpindel proved the demand; adding CO2 mass-flow is the un-built upgrade.</t>
        </is>
      </c>
    </row>
    <row r="26" ht="54" customHeight="1">
      <c r="A26" s="29" t="n">
        <v>22</v>
      </c>
      <c r="B26" s="100" t="inlineStr">
        <is>
          <t>Quiet-Street Evidence Kit</t>
        </is>
      </c>
      <c r="C26" s="12" t="inlineStr">
        <is>
          <t>Calibrated dB(A) logger with hash-chained, timestamped records — neighbourhood noise documentation that stands up in disputes.</t>
        </is>
      </c>
      <c r="D26" s="12" t="inlineStr">
        <is>
          <t>ICS-43434 I2S mic · DFRobot dB meter</t>
        </is>
      </c>
      <c r="E26" s="12" t="inlineStr">
        <is>
          <t>ESP32, RTC, SD, sealed enclosure</t>
        </is>
      </c>
      <c r="F26" s="29" t="inlineStr">
        <is>
          <t>$70</t>
        </is>
      </c>
      <c r="G26" s="29" t="inlineStr">
        <is>
          <t>$42</t>
        </is>
      </c>
      <c r="H26" s="29" t="n">
        <v>3</v>
      </c>
      <c r="I26" s="12" t="inlineStr">
        <is>
          <t>Sound, Safety, Home</t>
        </is>
      </c>
      <c r="J26" s="12" t="inlineStr">
        <is>
          <t>Noise complaints fail for lack of evidence; calibrated continuous data wins hearings.</t>
        </is>
      </c>
    </row>
    <row r="27" ht="54" customHeight="1">
      <c r="A27" s="29" t="n">
        <v>23</v>
      </c>
      <c r="B27" s="100" t="inlineStr">
        <is>
          <t>Greenhouse CO2 Dosing Loop</t>
        </is>
      </c>
      <c r="C27" s="12" t="inlineStr">
        <is>
          <t>SCD30 + tank solenoid + safety interlocks: enriched CO2 (800-1200ppm) during light hours only — 20-30% growth gains, done safely.</t>
        </is>
      </c>
      <c r="D27" s="12" t="inlineStr">
        <is>
          <t>SCD30 NDIR CO2 · BH1750 lux sensor · LD2410 mmWave presence</t>
        </is>
      </c>
      <c r="E27" s="12" t="inlineStr">
        <is>
          <t>CO2 tank+solenoid, relay, vent servo</t>
        </is>
      </c>
      <c r="F27" s="29" t="inlineStr">
        <is>
          <t>$120</t>
        </is>
      </c>
      <c r="G27" s="29" t="inlineStr">
        <is>
          <t>$48</t>
        </is>
      </c>
      <c r="H27" s="29" t="n">
        <v>3</v>
      </c>
      <c r="I27" s="12" t="inlineStr">
        <is>
          <t>Grow, Air, Safety</t>
        </is>
      </c>
      <c r="J27" s="12" t="inlineStr">
        <is>
          <t>Commercial dosing controllers are $500+; the human-presence lockout makes the hobby version safer.</t>
        </is>
      </c>
    </row>
    <row r="28" ht="54" customHeight="1">
      <c r="A28" s="29" t="n">
        <v>24</v>
      </c>
      <c r="B28" s="100" t="inlineStr">
        <is>
          <t>Personal Weather Truth Station</t>
        </is>
      </c>
      <c r="C28" s="12" t="inlineStr">
        <is>
          <t>Wind, rain, lightning, pressure, irradiance, PM — a full station that joins open networks (Sensor.Community, WOW) and beats the airport forecast for YOUR street.</t>
        </is>
      </c>
      <c r="D28" s="12" t="inlineStr">
        <is>
          <t>SHT31 weatherproof probe · BMP390 precision barometer · SPS30 premium PM · Anemometer cup sensor · Wind vane · Tipping bucket rain gauge · AS3935 lightning detector</t>
        </is>
      </c>
      <c r="E28" s="12" t="inlineStr">
        <is>
          <t>ESP32, solar, Stevenson screen print</t>
        </is>
      </c>
      <c r="F28" s="29" t="inlineStr">
        <is>
          <t>$130</t>
        </is>
      </c>
      <c r="G28" s="29" t="inlineStr">
        <is>
          <t>$123</t>
        </is>
      </c>
      <c r="H28" s="29" t="n">
        <v>3</v>
      </c>
      <c r="I28" s="12" t="inlineStr">
        <is>
          <t>Wild, Air, Play</t>
        </is>
      </c>
      <c r="J28" s="12" t="inlineStr">
        <is>
          <t>The gateway build that teaches every bus and protocol; open networks give it purpose.</t>
        </is>
      </c>
    </row>
    <row r="29" ht="54" customHeight="1">
      <c r="A29" s="29" t="n">
        <v>25</v>
      </c>
      <c r="B29" s="100" t="inlineStr">
        <is>
          <t>Elder 'Quiet Guardian'</t>
        </is>
      </c>
      <c r="C29" s="12" t="inlineStr">
        <is>
          <t>No cameras, no wearables: mmWave fall+presence, stove heat watch, fridge-door rhythm, bathroom-visit patterns. Anomalies text the family. Dignity preserved.</t>
        </is>
      </c>
      <c r="D29" s="12" t="inlineStr">
        <is>
          <t>VL53L0X ToF laser · LD2410 mmWave presence · Seeed MR60BHA2 vital-sign radar · Grid-EYE AMG8833 thermal array</t>
        </is>
      </c>
      <c r="E29" s="12" t="inlineStr">
        <is>
          <t>ESP32 ×4, MQTT hub, family app/webhook</t>
        </is>
      </c>
      <c r="F29" s="29" t="inlineStr">
        <is>
          <t>$160</t>
        </is>
      </c>
      <c r="G29" s="29" t="inlineStr">
        <is>
          <t>$70</t>
        </is>
      </c>
      <c r="H29" s="29" t="n">
        <v>3</v>
      </c>
      <c r="I29" s="12" t="inlineStr">
        <is>
          <t>Health, Safety, Home</t>
        </is>
      </c>
      <c r="J29" s="12" t="inlineStr">
        <is>
          <t>Camera guilt kills adoption of commercial solutions; radar sidesteps it entirely.</t>
        </is>
      </c>
    </row>
    <row r="30" ht="54" customHeight="1">
      <c r="A30" s="29" t="n">
        <v>26</v>
      </c>
      <c r="B30" s="100" t="inlineStr">
        <is>
          <t>RTK Lawn Robot Brain</t>
        </is>
      </c>
      <c r="C30" s="12" t="inlineStr">
        <is>
          <t>ZED-F9P RTK + IMU + wheel encoders: centimetre navigation for a mower/seeder/plotter — mow your logo into the lawn weekly.</t>
        </is>
      </c>
      <c r="D30" s="12" t="inlineStr">
        <is>
          <t>BNO086 high-perf fusion IMU · KY-040 rotary encoder · ZED-F9P RTK centimetre GNSS · Inductive proximity switch M12/M18</t>
        </is>
      </c>
      <c r="E30" s="12" t="inlineStr">
        <is>
          <t>Motor drivers, frame, ESP32-S3, NTRIP via Wi-Fi</t>
        </is>
      </c>
      <c r="F30" s="29" t="inlineStr">
        <is>
          <t>$450</t>
        </is>
      </c>
      <c r="G30" s="29" t="inlineStr">
        <is>
          <t>$286</t>
        </is>
      </c>
      <c r="H30" s="29" t="n">
        <v>5</v>
      </c>
      <c r="I30" s="12" t="inlineStr">
        <is>
          <t>Robots, Grow, Motion</t>
        </is>
      </c>
      <c r="J30" s="12" t="inlineStr">
        <is>
          <t>RTK boards crossed the hobby price line; open NTRIP networks removed the base-station tax.</t>
        </is>
      </c>
    </row>
    <row r="31" ht="54" customHeight="1">
      <c r="A31" s="29" t="n">
        <v>27</v>
      </c>
      <c r="B31" s="100" t="inlineStr">
        <is>
          <t>Library of Smells</t>
        </is>
      </c>
      <c r="C31" s="12" t="inlineStr">
        <is>
          <t>A 4x BME688 array + sample chamber learns smell-prints: which coffee, which cheese, burnt-vs-browning, 'whose dog'. An e-nose with a training UI.</t>
        </is>
      </c>
      <c r="D31" s="12" t="inlineStr">
        <is>
          <t>BME688 gas + climate AI</t>
        </is>
      </c>
      <c r="E31" s="12" t="inlineStr">
        <is>
          <t>Small fan, chamber print, ESP32-S3, AI-Studio workflow</t>
        </is>
      </c>
      <c r="F31" s="29" t="inlineStr">
        <is>
          <t>$80</t>
        </is>
      </c>
      <c r="G31" s="29" t="inlineStr">
        <is>
          <t>$15</t>
        </is>
      </c>
      <c r="H31" s="29" t="n">
        <v>5</v>
      </c>
      <c r="I31" s="12" t="inlineStr">
        <is>
          <t>Air, Play, Health</t>
        </is>
      </c>
      <c r="J31" s="12" t="inlineStr">
        <is>
          <t>Bosch's AI-Studio made array training accessible; almost nobody has built the library yet.</t>
        </is>
      </c>
    </row>
    <row r="32" ht="54" customHeight="1">
      <c r="A32" s="29" t="n">
        <v>28</v>
      </c>
      <c r="B32" s="100" t="inlineStr">
        <is>
          <t>Heat-Loss X-Ray Wand</t>
        </is>
      </c>
      <c r="C32" s="12" t="inlineStr">
        <is>
          <t>MLX90640 thermal + visible cam overlay on a phone-streamed wand: sweep your walls, see every insulation sin in colour, export a per-wall report.</t>
        </is>
      </c>
      <c r="D32" s="12" t="inlineStr">
        <is>
          <t>SHT41 humidity + temp · MLX90640 thermal camera · OV2640 camera (ESP32-CAM)</t>
        </is>
      </c>
      <c r="E32" s="12" t="inlineStr">
        <is>
          <t>ESP32-S3, LiPo, pistol-grip print</t>
        </is>
      </c>
      <c r="F32" s="29" t="inlineStr">
        <is>
          <t>$75</t>
        </is>
      </c>
      <c r="G32" s="29" t="inlineStr">
        <is>
          <t>$59</t>
        </is>
      </c>
      <c r="H32" s="29" t="n">
        <v>3</v>
      </c>
      <c r="I32" s="12" t="inlineStr">
        <is>
          <t>Energy, Home, Invisible</t>
        </is>
      </c>
      <c r="J32" s="12" t="inlineStr">
        <is>
          <t>Thermal cameras still cost $300+; this is 80% of the value at 25% of the price.</t>
        </is>
      </c>
    </row>
    <row r="33" ht="54" customHeight="1">
      <c r="A33" s="29" t="n">
        <v>29</v>
      </c>
      <c r="B33" s="100" t="inlineStr">
        <is>
          <t>Aquarium Autopilot</t>
        </is>
      </c>
      <c r="C33" s="12" t="inlineStr">
        <is>
          <t>pH, temp, level, leak, light schedule, auto-top-off and dosing — reef-keeping's anxiety, automated, with a 'tank health' score.</t>
        </is>
      </c>
      <c r="D33" s="12" t="inlineStr">
        <is>
          <t>TCS34725 RGB color · DS18B20 soil temp spear · Analog pH kit · eTape liquid level · Water leak rope sensor</t>
        </is>
      </c>
      <c r="E33" s="12" t="inlineStr">
        <is>
          <t>Peristaltic pumps ×2, relays, ESP32, float backup</t>
        </is>
      </c>
      <c r="F33" s="29" t="inlineStr">
        <is>
          <t>$110</t>
        </is>
      </c>
      <c r="G33" s="29" t="inlineStr">
        <is>
          <t>$92</t>
        </is>
      </c>
      <c r="H33" s="29" t="n">
        <v>3</v>
      </c>
      <c r="I33" s="12" t="inlineStr">
        <is>
          <t>Water, Home, Health</t>
        </is>
      </c>
      <c r="J33" s="12" t="inlineStr">
        <is>
          <t>Commercial controllers (Apex) start at $500; the tint-tracking idea is genuinely novel.</t>
        </is>
      </c>
    </row>
    <row r="34" ht="54" customHeight="1">
      <c r="A34" s="29" t="n">
        <v>30</v>
      </c>
      <c r="B34" s="100" t="inlineStr">
        <is>
          <t>Knock-DNA Door Identifier</t>
        </is>
      </c>
      <c r="C34" s="12" t="inlineStr">
        <is>
          <t>A piezo on the door learns each family member's knock signature (timing+force patterns) — the door greets who's knocking before it opens.</t>
        </is>
      </c>
      <c r="D34" s="12" t="inlineStr">
        <is>
          <t>ADXL345 accelerometer · Piezo contact mic / disc</t>
        </is>
      </c>
      <c r="E34" s="12" t="inlineStr">
        <is>
          <t>ESP32, TinyML, speaker/display</t>
        </is>
      </c>
      <c r="F34" s="29" t="inlineStr">
        <is>
          <t>$20</t>
        </is>
      </c>
      <c r="G34" s="29" t="inlineStr">
        <is>
          <t>$4</t>
        </is>
      </c>
      <c r="H34" s="29" t="n">
        <v>4</v>
      </c>
      <c r="I34" s="12" t="inlineStr">
        <is>
          <t>Play, Home, Sound</t>
        </is>
      </c>
      <c r="J34" s="12" t="inlineStr">
        <is>
          <t>Tiny dataset, tiny model, huge delight — the perfect first TinyML project with personality.</t>
        </is>
      </c>
    </row>
    <row r="35" ht="54" customHeight="1">
      <c r="A35" s="29" t="n">
        <v>31</v>
      </c>
      <c r="B35" s="100" t="inlineStr">
        <is>
          <t>Soil Tension Irrigation (Pro-Grade)</t>
        </is>
      </c>
      <c r="C35" s="12" t="inlineStr">
        <is>
          <t>Watermark tensiometers + per-zone valves irrigate by plant-felt suction, not guesswork — the method vineyards pay agronomists for.</t>
        </is>
      </c>
      <c r="D35" s="12" t="inlineStr">
        <is>
          <t>Strain gauge + amp · DS18B20 soil temp spear · Watermark granular-matrix soil water sensor</t>
        </is>
      </c>
      <c r="E35" s="12" t="inlineStr">
        <is>
          <t>Latching valves ×4, LoRa nodes, solar</t>
        </is>
      </c>
      <c r="F35" s="29" t="inlineStr">
        <is>
          <t>$220</t>
        </is>
      </c>
      <c r="G35" s="29" t="inlineStr">
        <is>
          <t>$54</t>
        </is>
      </c>
      <c r="H35" s="29" t="n">
        <v>4</v>
      </c>
      <c r="I35" s="12" t="inlineStr">
        <is>
          <t>Grow, Water, Wild</t>
        </is>
      </c>
      <c r="J35" s="12" t="inlineStr">
        <is>
          <t>Capacitive probes lie across soil types; tension is transferable truth.</t>
        </is>
      </c>
    </row>
    <row r="36" ht="54" customHeight="1">
      <c r="A36" s="29" t="n">
        <v>32</v>
      </c>
      <c r="B36" s="100" t="inlineStr">
        <is>
          <t>Bat Census Observatory</t>
        </is>
      </c>
      <c r="C36" s="12" t="inlineStr">
        <is>
          <t>Ultrasonic mic + nightly spectrogram classifier counts bat passes and guesses species; uploads to community science portals.</t>
        </is>
      </c>
      <c r="D36" s="12" t="inlineStr">
        <is>
          <t>HC-SR04 ultrasonic · TSL2561 lux sensor</t>
        </is>
      </c>
      <c r="E36" s="12" t="inlineStr">
        <is>
          <t>ESP32-S3 (192kHz I2S), SD, weatherproof box</t>
        </is>
      </c>
      <c r="F36" s="29" t="inlineStr">
        <is>
          <t>$45</t>
        </is>
      </c>
      <c r="G36" s="29" t="inlineStr">
        <is>
          <t>$6</t>
        </is>
      </c>
      <c r="H36" s="29" t="n">
        <v>5</v>
      </c>
      <c r="I36" s="12" t="inlineStr">
        <is>
          <t>Wild, Sound, Invisible</t>
        </is>
      </c>
      <c r="J36" s="12" t="inlineStr">
        <is>
          <t>AudioMoth proved demand at $80; an always-on ESP32 version with live dashboards is the next step.</t>
        </is>
      </c>
    </row>
    <row r="37" ht="54" customHeight="1">
      <c r="A37" s="29" t="n">
        <v>33</v>
      </c>
      <c r="B37" s="100" t="inlineStr">
        <is>
          <t>Garage Parking Butler</t>
        </is>
      </c>
      <c r="C37" s="12" t="inlineStr">
        <is>
          <t>ToF distance to windshield drives a giant WS2812 'traffic light' — plus door-state, CO watch, and 'car never left' departure nudges.</t>
        </is>
      </c>
      <c r="D37" s="12" t="inlineStr">
        <is>
          <t>MQ-7 carbon monoxide · VL53L0X ToF laser · QMC5883L compass · Reed switch</t>
        </is>
      </c>
      <c r="E37" s="12" t="inlineStr">
        <is>
          <t>ESP32, LED matrix, buzzer</t>
        </is>
      </c>
      <c r="F37" s="29" t="inlineStr">
        <is>
          <t>$35</t>
        </is>
      </c>
      <c r="G37" s="29" t="inlineStr">
        <is>
          <t>$10</t>
        </is>
      </c>
      <c r="H37" s="29" t="n">
        <v>2</v>
      </c>
      <c r="I37" s="12" t="inlineStr">
        <is>
          <t>Home, Safety, Motion</t>
        </is>
      </c>
      <c r="J37" s="12" t="inlineStr">
        <is>
          <t>The classic build, upgraded with magnetometer car-detection — reliable even with engine off.</t>
        </is>
      </c>
    </row>
    <row r="38" ht="54" customHeight="1">
      <c r="A38" s="29" t="n">
        <v>34</v>
      </c>
      <c r="B38" s="100" t="inlineStr">
        <is>
          <t>Muon Altitude Expedition</t>
        </is>
      </c>
      <c r="C38" s="12" t="inlineStr">
        <is>
          <t>Two CosmicWatch detectors in coincidence + GPS altitude: take cosmic-ray physics on a hike/flight and watch the flux climb 30x. Publish the curve.</t>
        </is>
      </c>
      <c r="D38" s="12" t="inlineStr">
        <is>
          <t>BMP390 precision barometer · NEO-6M GPS · Muon detector (CosmicWatch)</t>
        </is>
      </c>
      <c r="E38" s="12" t="inlineStr">
        <is>
          <t>ESP32, SD, battery, seatback-friendly case</t>
        </is>
      </c>
      <c r="F38" s="29" t="inlineStr">
        <is>
          <t>$230</t>
        </is>
      </c>
      <c r="G38" s="29" t="inlineStr">
        <is>
          <t>$118</t>
        </is>
      </c>
      <c r="H38" s="29" t="n">
        <v>5</v>
      </c>
      <c r="I38" s="12" t="inlineStr">
        <is>
          <t>Invisible, Play, Wild</t>
        </is>
      </c>
      <c r="J38" s="12" t="inlineStr">
        <is>
          <t>Nothing communicates 'invisible world' like counting cosmic rays over the inflight map.</t>
        </is>
      </c>
    </row>
    <row r="39" ht="54" customHeight="1">
      <c r="A39" s="29" t="n">
        <v>35</v>
      </c>
      <c r="B39" s="100" t="inlineStr">
        <is>
          <t>Hand-Wash Quality Coach</t>
        </is>
      </c>
      <c r="C39" s="12" t="inlineStr">
        <is>
          <t>ToF wake + flow sensor + 20-second soap-scrub detection (mic scrub-sound classifier) gamifies proper handwashing for kids' bathrooms and clinics.</t>
        </is>
      </c>
      <c r="D39" s="12" t="inlineStr">
        <is>
          <t>INMP441 I2S MEMS mic · YF-S201 flow sensor · VL6180X short-range ToF</t>
        </is>
      </c>
      <c r="E39" s="12" t="inlineStr">
        <is>
          <t>ESP32, WS2812 progress ring, waterproofing</t>
        </is>
      </c>
      <c r="F39" s="29" t="inlineStr">
        <is>
          <t>$30</t>
        </is>
      </c>
      <c r="G39" s="29" t="inlineStr">
        <is>
          <t>$16</t>
        </is>
      </c>
      <c r="H39" s="29" t="n">
        <v>3</v>
      </c>
      <c r="I39" s="12" t="inlineStr">
        <is>
          <t>Health, Water, Play</t>
        </is>
      </c>
      <c r="J39" s="12" t="inlineStr">
        <is>
          <t>Hygiene compliance is a real industry; the playful version is unowned territory.</t>
        </is>
      </c>
    </row>
    <row r="40" ht="54" customHeight="1">
      <c r="A40" s="29" t="n">
        <v>36</v>
      </c>
      <c r="B40" s="100" t="inlineStr">
        <is>
          <t>Window Free-Cooling Butler</t>
        </is>
      </c>
      <c r="C40" s="12" t="inlineStr">
        <is>
          <t>Indoor/outdoor BME280 pair + window actuator: opens when outside air genuinely improves comfort (enthalpy, not just temp), closes for rain/noise/PM.</t>
        </is>
      </c>
      <c r="D40" s="12" t="inlineStr">
        <is>
          <t>BME280 climate combo · PMS5003 particulate · Wind vane · Joystick module</t>
        </is>
      </c>
      <c r="E40" s="12" t="inlineStr">
        <is>
          <t>Linear actuator, ESP32, safety clutch</t>
        </is>
      </c>
      <c r="F40" s="29" t="inlineStr">
        <is>
          <t>$90</t>
        </is>
      </c>
      <c r="G40" s="29" t="inlineStr">
        <is>
          <t>$34</t>
        </is>
      </c>
      <c r="H40" s="29" t="n">
        <v>3</v>
      </c>
      <c r="I40" s="12" t="inlineStr">
        <is>
          <t>Home, Energy, Air</t>
        </is>
      </c>
      <c r="J40" s="12" t="inlineStr">
        <is>
          <t>Free cooling is the cheapest HVAC there is; the multi-veto logic is what makes it trustworthy.</t>
        </is>
      </c>
    </row>
    <row r="41" ht="54" customHeight="1">
      <c r="A41" s="29" t="n">
        <v>37</v>
      </c>
      <c r="B41" s="100" t="inlineStr">
        <is>
          <t>Chicken Coop Mission Control</t>
        </is>
      </c>
      <c r="C41" s="12" t="inlineStr">
        <is>
          <t>RFID pop-door roll call, NH3 air watch, water level, predator-shake fence fiber, egg-counter beam — the homestead's first smart building.</t>
        </is>
      </c>
      <c r="D41" s="12" t="inlineStr">
        <is>
          <t>Non-contact liquid level XKC-Y26 · D6T thermal presence · 125kHz RDM6300 RFID · MQ-131 ozone</t>
        </is>
      </c>
      <c r="E41" s="12" t="inlineStr">
        <is>
          <t>Servo door, solar, LoRa, ESP32</t>
        </is>
      </c>
      <c r="F41" s="29" t="inlineStr">
        <is>
          <t>$120</t>
        </is>
      </c>
      <c r="G41" s="29" t="inlineStr">
        <is>
          <t>$96</t>
        </is>
      </c>
      <c r="H41" s="29" t="n">
        <v>3</v>
      </c>
      <c r="I41" s="12" t="inlineStr">
        <is>
          <t>Grow, Safety, Home</t>
        </is>
      </c>
      <c r="J41" s="12" t="inlineStr">
        <is>
          <t>Each sub-system exists as a tutorial; the integrated 'coop OS' doesn't — yet.</t>
        </is>
      </c>
    </row>
    <row r="42" ht="54" customHeight="1">
      <c r="A42" s="29" t="n">
        <v>38</v>
      </c>
      <c r="B42" s="100" t="inlineStr">
        <is>
          <t>Stair Safety Lightfall</t>
        </is>
      </c>
      <c r="C42" s="12" t="inlineStr">
        <is>
          <t>mmWave detects approach direction; LED strips light each tread in a falling cascade ahead of your feet — beautiful AND fall-preventing at 3am.</t>
        </is>
      </c>
      <c r="D42" s="12" t="inlineStr">
        <is>
          <t>VEML7700 high-accuracy lux · LD2450 multi-target tracking radar</t>
        </is>
      </c>
      <c r="E42" s="12" t="inlineStr">
        <is>
          <t>WS2812 per-tread, ESP32, diffusers</t>
        </is>
      </c>
      <c r="F42" s="29" t="inlineStr">
        <is>
          <t>$60</t>
        </is>
      </c>
      <c r="G42" s="29" t="inlineStr">
        <is>
          <t>$17</t>
        </is>
      </c>
      <c r="H42" s="29" t="n">
        <v>2</v>
      </c>
      <c r="I42" s="12" t="inlineStr">
        <is>
          <t>Home, Light, Safety</t>
        </is>
      </c>
      <c r="J42" s="12" t="inlineStr">
        <is>
          <t>The XY radar makes direction-aware animation trivial; this build sells itself in one demo.</t>
        </is>
      </c>
    </row>
    <row r="43" ht="54" customHeight="1">
      <c r="A43" s="29" t="n">
        <v>39</v>
      </c>
      <c r="B43" s="100" t="inlineStr">
        <is>
          <t>Open NILM Research Rig</t>
        </is>
      </c>
      <c r="C43" s="12" t="inlineStr">
        <is>
          <t>High-rate mains waveform capture (V+I) with labelled appliance ground truth (smart plugs) — generate the open dataset NILM research starves for.</t>
        </is>
      </c>
      <c r="D43" s="12" t="inlineStr">
        <is>
          <t>SCT-013 CT clamp · PZEM-004T AC power module · ZMPT101B voltage sensor</t>
        </is>
      </c>
      <c r="E43" s="12" t="inlineStr">
        <is>
          <t>ESP32-S3 high-rate ADC pipeline, SD, smart plugs</t>
        </is>
      </c>
      <c r="F43" s="29" t="inlineStr">
        <is>
          <t>$70</t>
        </is>
      </c>
      <c r="G43" s="29" t="inlineStr">
        <is>
          <t>$24</t>
        </is>
      </c>
      <c r="H43" s="29" t="n">
        <v>5</v>
      </c>
      <c r="I43" s="12" t="inlineStr">
        <is>
          <t>Energy, Invisible, MachineHealth</t>
        </is>
      </c>
      <c r="J43" s="12" t="inlineStr">
        <is>
          <t>Public NILM datasets are old and few; new open data is genuinely valuable to the field.</t>
        </is>
      </c>
    </row>
    <row r="44" ht="54" customHeight="1">
      <c r="A44" s="29" t="n">
        <v>40</v>
      </c>
      <c r="B44" s="100" t="inlineStr">
        <is>
          <t>Microclimate Quilt for Streets</t>
        </is>
      </c>
      <c r="C44" s="12" t="inlineStr">
        <is>
          <t>Ten solar ESP32 nodes (temp/RH/PM/noise) lent to neighbours = a street-level heat-island and air map that city sensors can't see.</t>
        </is>
      </c>
      <c r="D44" s="12" t="inlineStr">
        <is>
          <t>SHT41 humidity + temp · PMS5003 particulate · Joystick module</t>
        </is>
      </c>
      <c r="E44" s="12" t="inlineStr">
        <is>
          <t>Solar cases ×10, LoRa/Wi-Fi mix, public map</t>
        </is>
      </c>
      <c r="F44" s="29" t="inlineStr">
        <is>
          <t>$300</t>
        </is>
      </c>
      <c r="G44" s="29" t="inlineStr">
        <is>
          <t>$22</t>
        </is>
      </c>
      <c r="H44" s="29" t="n">
        <v>3</v>
      </c>
      <c r="I44" s="12" t="inlineStr">
        <is>
          <t>Wild, Air, Home</t>
        </is>
      </c>
      <c r="J44" s="12" t="inlineStr">
        <is>
          <t>Urban heat kills; hyperlocal data drives tree-planting and cooling-centre decisions.</t>
        </is>
      </c>
    </row>
    <row r="45" ht="54" customHeight="1">
      <c r="A45" s="29" t="n">
        <v>41</v>
      </c>
      <c r="B45" s="100" t="inlineStr">
        <is>
          <t>The Sensitive Sculpture</t>
        </is>
      </c>
      <c r="C45" s="12" t="inlineStr">
        <is>
          <t>A gallery piece that secretly senses: breath (CO2 rise nearby), warmth (thermopile), heartbeat-through-handrail (PPG), and responds in light and sound — visitors realise IT noticed THEM.</t>
        </is>
      </c>
      <c r="D45" s="12" t="inlineStr">
        <is>
          <t>SCD41 true CO2 · LD2450 multi-target tracking radar · Grid-EYE AMG8833 thermal array · MAX30102 pulse oximeter</t>
        </is>
      </c>
      <c r="E45" s="12" t="inlineStr">
        <is>
          <t>ESP32-S3, DMX/LED drivers, transducer speakers</t>
        </is>
      </c>
      <c r="F45" s="29" t="inlineStr">
        <is>
          <t>$150</t>
        </is>
      </c>
      <c r="G45" s="29" t="inlineStr">
        <is>
          <t>$78</t>
        </is>
      </c>
      <c r="H45" s="29" t="n">
        <v>4</v>
      </c>
      <c r="I45" s="12" t="inlineStr">
        <is>
          <t>Play, Invisible, Sound</t>
        </is>
      </c>
      <c r="J45" s="12" t="inlineStr">
        <is>
          <t>Interactive art commissions pay real money; multi-sensory presence detection is your palette.</t>
        </is>
      </c>
    </row>
    <row r="46" ht="54" customHeight="1">
      <c r="A46" s="29" t="n">
        <v>42</v>
      </c>
      <c r="B46" s="100" t="inlineStr">
        <is>
          <t>The Honest Thermostat</t>
        </is>
      </c>
      <c r="C46" s="12" t="inlineStr">
        <is>
          <t>Most thermostats measure the air next to one wall. This one measures what a body actually feels: air temperature, radiant wall temperature, humidity and air movement, combined into a comfort index — then heats to THAT instead of to a number.</t>
        </is>
      </c>
      <c r="D46" s="12" t="inlineStr">
        <is>
          <t>MLX90614 IR thermometer · SHT41 humidity + temp · LD2410 mmWave presence · FS3000 air velocity</t>
        </is>
      </c>
      <c r="E46" s="12" t="inlineStr">
        <is>
          <t>ESP32, relay or OpenTherm interface, ePaper display</t>
        </is>
      </c>
      <c r="F46" s="29" t="inlineStr">
        <is>
          <t>$70</t>
        </is>
      </c>
      <c r="G46" s="29" t="inlineStr">
        <is>
          <t>$45</t>
        </is>
      </c>
      <c r="H46" s="29" t="n">
        <v>3</v>
      </c>
      <c r="I46" s="12" t="inlineStr">
        <is>
          <t>Home, Energy, Health</t>
        </is>
      </c>
      <c r="J46" s="12" t="inlineStr">
        <is>
          <t>Radiant asymmetry is why a 21°C room with cold walls feels wrong. Nobody sells a domestic thermostat that measures it, and the physics is well documented.</t>
        </is>
      </c>
    </row>
    <row r="47" ht="54" customHeight="1">
      <c r="A47" s="29" t="n">
        <v>43</v>
      </c>
      <c r="B47" s="100" t="inlineStr">
        <is>
          <t>Doorway Weather Station</t>
        </is>
      </c>
      <c r="C47" s="12" t="inlineStr">
        <is>
          <t>A sensor sandwich either side of the front door measures exactly how much conditioned air you lose every time it opens — in watts, and in pennies.</t>
        </is>
      </c>
      <c r="D47" s="12" t="inlineStr">
        <is>
          <t>SHT41 humidity + temp · BMP390 precision barometer · Reed switch · FS3000 air velocity</t>
        </is>
      </c>
      <c r="E47" s="12" t="inlineStr">
        <is>
          <t>ESP32, two small enclosures, magnet</t>
        </is>
      </c>
      <c r="F47" s="29" t="inlineStr">
        <is>
          <t>$55</t>
        </is>
      </c>
      <c r="G47" s="29" t="inlineStr">
        <is>
          <t>$42</t>
        </is>
      </c>
      <c r="H47" s="29" t="n">
        <v>3</v>
      </c>
      <c r="I47" s="12" t="inlineStr">
        <is>
          <t>Home, Energy, Time</t>
        </is>
      </c>
      <c r="J47" s="12" t="inlineStr">
        <is>
          <t>Differential sensing across a boundary: neither absolute reading matters, the gradient is the whole signal. Turns an abstract nag into a number people argue about.</t>
        </is>
      </c>
    </row>
    <row r="48" ht="54" customHeight="1">
      <c r="A48" s="29" t="n">
        <v>44</v>
      </c>
      <c r="B48" s="100" t="inlineStr">
        <is>
          <t>Laundry Finished, Actually</t>
        </is>
      </c>
      <c r="C48" s="12" t="inlineStr">
        <is>
          <t>A vibration puck on the machine learns its cycle signature and tells you when the drum genuinely stops — not when a timer guesses. Then keeps nagging until the door opens.</t>
        </is>
      </c>
      <c r="D48" s="12" t="inlineStr">
        <is>
          <t>ADXL345 accelerometer · Reed switch</t>
        </is>
      </c>
      <c r="E48" s="12" t="inlineStr">
        <is>
          <t>ESP32-C3, magnet on the door, LiPo</t>
        </is>
      </c>
      <c r="F48" s="29" t="inlineStr">
        <is>
          <t>$20</t>
        </is>
      </c>
      <c r="G48" s="29" t="inlineStr">
        <is>
          <t>$4</t>
        </is>
      </c>
      <c r="H48" s="29" t="n">
        <v>2</v>
      </c>
      <c r="I48" s="12" t="inlineStr">
        <is>
          <t>Home, MachineHealth, Time</t>
        </is>
      </c>
      <c r="J48" s="12" t="inlineStr">
        <is>
          <t>A perfect first temporal-pattern project: the classifier is trivial, the payoff is daily, and the same vibration trace later tells you the bearings are going.</t>
        </is>
      </c>
    </row>
    <row r="49" ht="54" customHeight="1">
      <c r="A49" s="29" t="n">
        <v>45</v>
      </c>
      <c r="B49" s="100" t="inlineStr">
        <is>
          <t>Which Window Is Lying</t>
        </is>
      </c>
      <c r="C49" s="12" t="inlineStr">
        <is>
          <t>A roaming node that parks on each windowsill for a day and ranks your windows by actual heat loss — surface temperature versus room temperature versus outside.</t>
        </is>
      </c>
      <c r="D49" s="12" t="inlineStr">
        <is>
          <t>MLX90614 IR thermometer · SHT41 humidity + temp · VEML7700 high-accuracy lux</t>
        </is>
      </c>
      <c r="E49" s="12" t="inlineStr">
        <is>
          <t>ESP32-C3, LiPo, magnetic mount</t>
        </is>
      </c>
      <c r="F49" s="29" t="inlineStr">
        <is>
          <t>$35</t>
        </is>
      </c>
      <c r="G49" s="29" t="inlineStr">
        <is>
          <t>$19</t>
        </is>
      </c>
      <c r="H49" s="29" t="n">
        <v>2</v>
      </c>
      <c r="I49" s="12" t="inlineStr">
        <is>
          <t>Home, Energy, Invisible</t>
        </is>
      </c>
      <c r="J49" s="12" t="inlineStr">
        <is>
          <t>Window replacement is expensive and usually decided by guesswork. One cheap roaming sensor produces a ranked list and a payback estimate.</t>
        </is>
      </c>
    </row>
    <row r="50" ht="54" customHeight="1">
      <c r="A50" s="29" t="n">
        <v>46</v>
      </c>
      <c r="B50" s="100" t="inlineStr">
        <is>
          <t>Breathing Room</t>
        </is>
      </c>
      <c r="C50" s="12" t="inlineStr">
        <is>
          <t>A meditation object that senses your breath contactlessly and breathes light back at you, gradually slowing to guide your rate down. No wearable, no app, no screen.</t>
        </is>
      </c>
      <c r="D50" s="12" t="inlineStr">
        <is>
          <t>VEML7700 high-accuracy lux · Seeed MR60BHA2 vital-sign radar</t>
        </is>
      </c>
      <c r="E50" s="12" t="inlineStr">
        <is>
          <t>ESP32, WS2812 ring, diffuser, wooden shell</t>
        </is>
      </c>
      <c r="F50" s="29" t="inlineStr">
        <is>
          <t>$55</t>
        </is>
      </c>
      <c r="G50" s="29" t="inlineStr">
        <is>
          <t>$30</t>
        </is>
      </c>
      <c r="H50" s="29" t="n">
        <v>3</v>
      </c>
      <c r="I50" s="12" t="inlineStr">
        <is>
          <t>Health, Play, Home</t>
        </is>
      </c>
      <c r="J50" s="12" t="inlineStr">
        <is>
          <t>Paced breathing works and is well evidenced; the friction is always the device. Contactless radar removes the strap, which is the thing people abandon.</t>
        </is>
      </c>
    </row>
    <row r="51" ht="54" customHeight="1">
      <c r="A51" s="29" t="n">
        <v>47</v>
      </c>
      <c r="B51" s="100" t="inlineStr">
        <is>
          <t>Range of Motion Coach</t>
        </is>
      </c>
      <c r="C51" s="12" t="inlineStr">
        <is>
          <t>A strap-on joint-angle sensor that speaks your live angle aloud during physio and logs whether you actually hit the prescribed range, the prescribed number of times.</t>
        </is>
      </c>
      <c r="D51" s="12" t="inlineStr">
        <is>
          <t>BNO086 high-perf fusion IMU · Bend Labs digital flex (1-axis)</t>
        </is>
      </c>
      <c r="E51" s="12" t="inlineStr">
        <is>
          <t>ESP32-C3, I2S speaker, strap, LiPo</t>
        </is>
      </c>
      <c r="F51" s="29" t="inlineStr">
        <is>
          <t>$95</t>
        </is>
      </c>
      <c r="G51" s="29" t="inlineStr">
        <is>
          <t>$92</t>
        </is>
      </c>
      <c r="H51" s="29" t="n">
        <v>3</v>
      </c>
      <c r="I51" s="12" t="inlineStr">
        <is>
          <t>Health, Robots, Time</t>
        </is>
      </c>
      <c r="J51" s="12" t="inlineStr">
        <is>
          <t>Home-exercise compliance is the single biggest predictor of recovery and the least measured. Angle plus count plus audio feedback is the whole intervention.</t>
        </is>
      </c>
    </row>
    <row r="52" ht="54" customHeight="1">
      <c r="A52" s="29" t="n">
        <v>48</v>
      </c>
      <c r="B52" s="100" t="inlineStr">
        <is>
          <t>The Chair That Notices</t>
        </is>
      </c>
      <c r="C52" s="12" t="inlineStr">
        <is>
          <t>A pressure mat under a cushion that reads posture, fidget rate and time-seated — then nudges rather than nags, because it knows when you're actually concentrating.</t>
        </is>
      </c>
      <c r="D52" s="12" t="inlineStr">
        <is>
          <t>FSR402 force resistor · Velostat pressure sheets</t>
        </is>
      </c>
      <c r="E52" s="12" t="inlineStr">
        <is>
          <t>ESP32, CD74HC4067 multiplexer, haptic motor</t>
        </is>
      </c>
      <c r="F52" s="29" t="inlineStr">
        <is>
          <t>$45</t>
        </is>
      </c>
      <c r="G52" s="29" t="inlineStr">
        <is>
          <t>$12</t>
        </is>
      </c>
      <c r="H52" s="29" t="n">
        <v>4</v>
      </c>
      <c r="I52" s="12" t="inlineStr">
        <is>
          <t>Health, Touch, Time</t>
        </is>
      </c>
      <c r="J52" s="12" t="inlineStr">
        <is>
          <t>Fidget rate is a surprisingly good proxy for both discomfort and focus, and a pressure matrix is cheap to build. The restraint in the interaction design is the product.</t>
        </is>
      </c>
    </row>
    <row r="53" ht="54" customHeight="1">
      <c r="A53" s="29" t="n">
        <v>49</v>
      </c>
      <c r="B53" s="100" t="inlineStr">
        <is>
          <t>Silent Night Audit</t>
        </is>
      </c>
      <c r="C53" s="12" t="inlineStr">
        <is>
          <t>Bedside node correlating snoring acoustics, room CO2, temperature and movement to explain why last night was bad — with an actionable single sentence each morning.</t>
        </is>
      </c>
      <c r="D53" s="12" t="inlineStr">
        <is>
          <t>SHT41 humidity + temp · SCD41 true CO2 · LD2410 mmWave presence · INMP441 I2S MEMS mic</t>
        </is>
      </c>
      <c r="E53" s="12" t="inlineStr">
        <is>
          <t>ESP32-S3, ePaper, wooden case</t>
        </is>
      </c>
      <c r="F53" s="29" t="inlineStr">
        <is>
          <t>$75</t>
        </is>
      </c>
      <c r="G53" s="29" t="inlineStr">
        <is>
          <t>$39</t>
        </is>
      </c>
      <c r="H53" s="29" t="n">
        <v>3</v>
      </c>
      <c r="I53" s="12" t="inlineStr">
        <is>
          <t>Health, Air, Home</t>
        </is>
      </c>
      <c r="J53" s="12" t="inlineStr">
        <is>
          <t>Sleep trackers say WHAT happened; almost none say WHY. Environmental correlation is the missing half and it is entirely buildable.</t>
        </is>
      </c>
    </row>
    <row r="54" ht="54" customHeight="1">
      <c r="A54" s="29" t="n">
        <v>50</v>
      </c>
      <c r="B54" s="100" t="inlineStr">
        <is>
          <t>Dawn Chorus Census</t>
        </is>
      </c>
      <c r="C54" s="12" t="inlineStr">
        <is>
          <t>A weatherproof node that records the first hour after sunrise every day for a year and counts distinct bird vocalisations — a garden biodiversity index that improves with time.</t>
        </is>
      </c>
      <c r="D54" s="12" t="inlineStr">
        <is>
          <t>SHT31 weatherproof probe · VEML7700 high-accuracy lux · ICS-43434 I2S mic</t>
        </is>
      </c>
      <c r="E54" s="12" t="inlineStr">
        <is>
          <t>ESP32-S3, SD card, solar, weatherproof case</t>
        </is>
      </c>
      <c r="F54" s="29" t="inlineStr">
        <is>
          <t>$70</t>
        </is>
      </c>
      <c r="G54" s="29" t="inlineStr">
        <is>
          <t>$22</t>
        </is>
      </c>
      <c r="H54" s="29" t="n">
        <v>4</v>
      </c>
      <c r="I54" s="12" t="inlineStr">
        <is>
          <t>Wild, Time, Play</t>
        </is>
      </c>
      <c r="J54" s="12" t="inlineStr">
        <is>
          <t>Acoustic biodiversity monitoring is a real scientific method with an active open-data community, and the light sensor gives you a true local sunrise rather than a calculated one.</t>
        </is>
      </c>
    </row>
    <row r="55" ht="54" customHeight="1">
      <c r="A55" s="29" t="n">
        <v>51</v>
      </c>
      <c r="B55" s="100" t="inlineStr">
        <is>
          <t>The Stream Knows</t>
        </is>
      </c>
      <c r="C55" s="12" t="inlineStr">
        <is>
          <t>A culvert node that learns the normal relationship between rainfall and water level, then raises the alarm when the stream rises faster than the rain justifies — which means a blockage downstream.</t>
        </is>
      </c>
      <c r="D55" s="12" t="inlineStr">
        <is>
          <t>DS18B20 digital temp probe · JSN-SR04T waterproof ultrasonic · Tipping bucket rain gauge</t>
        </is>
      </c>
      <c r="E55" s="12" t="inlineStr">
        <is>
          <t>ESP32, LoRa, solar, pole mount</t>
        </is>
      </c>
      <c r="F55" s="29" t="inlineStr">
        <is>
          <t>$85</t>
        </is>
      </c>
      <c r="G55" s="29" t="inlineStr">
        <is>
          <t>$20</t>
        </is>
      </c>
      <c r="H55" s="29" t="n">
        <v>3</v>
      </c>
      <c r="I55" s="12" t="inlineStr">
        <is>
          <t>Wild, Water, Safety</t>
        </is>
      </c>
      <c r="J55" s="12" t="inlineStr">
        <is>
          <t>Anomaly against a learned baseline beats a fixed threshold. This detects the cause of a flood before the flood, which no simple level alarm can do.</t>
        </is>
      </c>
    </row>
    <row r="56" ht="54" customHeight="1">
      <c r="A56" s="29" t="n">
        <v>52</v>
      </c>
      <c r="B56" s="100" t="inlineStr">
        <is>
          <t>Tree Health Diary</t>
        </is>
      </c>
      <c r="C56" s="12" t="inlineStr">
        <is>
          <t>A dendrometer that measures a trunk's daily swelling and shrinking — trees fatten at night and shrink under water stress by day. Two years of that is a health record.</t>
        </is>
      </c>
      <c r="D56" s="12" t="inlineStr">
        <is>
          <t>SHT31 weatherproof probe · Bend Labs digital flex (1-axis) · DS18B20 soil temp spear</t>
        </is>
      </c>
      <c r="E56" s="12" t="inlineStr">
        <is>
          <t>ESP32-C3, stainless band, solar, LoRa</t>
        </is>
      </c>
      <c r="F56" s="29" t="inlineStr">
        <is>
          <t>$110</t>
        </is>
      </c>
      <c r="G56" s="29" t="inlineStr">
        <is>
          <t>$87</t>
        </is>
      </c>
      <c r="H56" s="29" t="n">
        <v>4</v>
      </c>
      <c r="I56" s="12" t="inlineStr">
        <is>
          <t>Wild, Grow, Time</t>
        </is>
      </c>
      <c r="J56" s="12" t="inlineStr">
        <is>
          <t>Micro-variation in stem diameter is an established plant-water-status method that almost no hobbyist has built. The signal is real and the daily rhythm is beautiful.</t>
        </is>
      </c>
    </row>
    <row r="57" ht="54" customHeight="1">
      <c r="A57" s="29" t="n">
        <v>53</v>
      </c>
      <c r="B57" s="100" t="inlineStr">
        <is>
          <t>Seed Starting Oracle</t>
        </is>
      </c>
      <c r="C57" s="12" t="inlineStr">
        <is>
          <t>Soil temperature at sowing depth plus a rolling seven-day average, matched against germination tables — it tells you which vegetable to sow this weekend, and which to wait on.</t>
        </is>
      </c>
      <c r="D57" s="12" t="inlineStr">
        <is>
          <t>SHT31 weatherproof probe · Capacitive soil moisture v2 · DS18B20 soil temp spear</t>
        </is>
      </c>
      <c r="E57" s="12" t="inlineStr">
        <is>
          <t>ESP32-C3, solar, ePaper garden sign</t>
        </is>
      </c>
      <c r="F57" s="29" t="inlineStr">
        <is>
          <t>$45</t>
        </is>
      </c>
      <c r="G57" s="29" t="inlineStr">
        <is>
          <t>$19</t>
        </is>
      </c>
      <c r="H57" s="29" t="n">
        <v>2</v>
      </c>
      <c r="I57" s="12" t="inlineStr">
        <is>
          <t>Grow, Time, Home</t>
        </is>
      </c>
      <c r="J57" s="12" t="inlineStr">
        <is>
          <t>Everyone sows by calendar and loses seed to cold soil. Soil temperature is the actual governing variable and nobody measures it.</t>
        </is>
      </c>
    </row>
    <row r="58" ht="54" customHeight="1">
      <c r="A58" s="29" t="n">
        <v>54</v>
      </c>
      <c r="B58" s="100" t="inlineStr">
        <is>
          <t>Compost Thermophile Tracker</t>
        </is>
      </c>
      <c r="C58" s="12" t="inlineStr">
        <is>
          <t>A multi-depth lance charting the heat curve of a compost heap, telling you exactly when to turn it — and warning you well before a hay-style self-heating event.</t>
        </is>
      </c>
      <c r="D58" s="12" t="inlineStr">
        <is>
          <t>SHT31 weatherproof probe · MQ-135 air quality · Compost / hay temp lance</t>
        </is>
      </c>
      <c r="E58" s="12" t="inlineStr">
        <is>
          <t>ESP32, steel lance, LoRa, solar</t>
        </is>
      </c>
      <c r="F58" s="29" t="inlineStr">
        <is>
          <t>$60</t>
        </is>
      </c>
      <c r="G58" s="29" t="inlineStr">
        <is>
          <t>$30</t>
        </is>
      </c>
      <c r="H58" s="29" t="n">
        <v>3</v>
      </c>
      <c r="I58" s="12" t="inlineStr">
        <is>
          <t>Grow, Safety, Time</t>
        </is>
      </c>
      <c r="J58" s="12" t="inlineStr">
        <is>
          <t>Hot composting is a controlled microbial process people run blind. The same lance is a genuine fire-prevention device for stored hay.</t>
        </is>
      </c>
    </row>
    <row r="59" ht="54" customHeight="1">
      <c r="A59" s="29" t="n">
        <v>55</v>
      </c>
      <c r="B59" s="100" t="inlineStr">
        <is>
          <t>Pollinator Traffic Counter</t>
        </is>
      </c>
      <c r="C59" s="12" t="inlineStr">
        <is>
          <t>An optical gate at a hive entrance or a flower patch counting insect crossings by hour, correlated with temperature, light and wind — a foraging-activity dataset from a garden.</t>
        </is>
      </c>
      <c r="D59" s="12" t="inlineStr">
        <is>
          <t>SHT31 weatherproof probe · VEML7700 high-accuracy lux · Through-beam slot / photo-interrupter</t>
        </is>
      </c>
      <c r="E59" s="12" t="inlineStr">
        <is>
          <t>ESP32-C3, 3D-printed tunnel, solar</t>
        </is>
      </c>
      <c r="F59" s="29" t="inlineStr">
        <is>
          <t>$40</t>
        </is>
      </c>
      <c r="G59" s="29" t="inlineStr">
        <is>
          <t>$18</t>
        </is>
      </c>
      <c r="H59" s="29" t="n">
        <v>3</v>
      </c>
      <c r="I59" s="12" t="inlineStr">
        <is>
          <t>Grow, Wild, Time</t>
        </is>
      </c>
      <c r="J59" s="12" t="inlineStr">
        <is>
          <t>Counting is the gateway analytic, and pollinator activity versus weather is a genuinely publishable backyard dataset.</t>
        </is>
      </c>
    </row>
    <row r="60" ht="54" customHeight="1">
      <c r="A60" s="29" t="n">
        <v>56</v>
      </c>
      <c r="B60" s="100" t="inlineStr">
        <is>
          <t>Shower Economics</t>
        </is>
      </c>
      <c r="C60" s="12" t="inlineStr">
        <is>
          <t>Inline flow and temperature turn every shower into litres, kilowatt-hours and pence, shown on a display outside the bathroom door. Nobody is nagged; everybody sees it.</t>
        </is>
      </c>
      <c r="D60" s="12" t="inlineStr">
        <is>
          <t>YF-S201 flow sensor · DS18B20 water temp + flow combo</t>
        </is>
      </c>
      <c r="E60" s="12" t="inlineStr">
        <is>
          <t>ESP32, plumbing tees, ePaper display</t>
        </is>
      </c>
      <c r="F60" s="29" t="inlineStr">
        <is>
          <t>$45</t>
        </is>
      </c>
      <c r="G60" s="29" t="inlineStr">
        <is>
          <t>$15</t>
        </is>
      </c>
      <c r="H60" s="29" t="n">
        <v>3</v>
      </c>
      <c r="I60" s="12" t="inlineStr">
        <is>
          <t>Water, Energy, Home</t>
        </is>
      </c>
      <c r="J60" s="12" t="inlineStr">
        <is>
          <t>Flow times temperature difference is real thermal energy, so this is a genuine kWh meter for the single biggest hot-water draw in most homes.</t>
        </is>
      </c>
    </row>
    <row r="61" ht="54" customHeight="1">
      <c r="A61" s="29" t="n">
        <v>57</v>
      </c>
      <c r="B61" s="100" t="inlineStr">
        <is>
          <t>Pond Dawn Watch</t>
        </is>
      </c>
      <c r="C61" s="12" t="inlineStr">
        <is>
          <t>Dissolved oxygen crashes just before sunrise, which is when fish die. This node watches the overnight curve and starts the aerator on trajectory, not on a threshold.</t>
        </is>
      </c>
      <c r="D61" s="12" t="inlineStr">
        <is>
          <t>DS18B20 digital temp probe · Turbidity sensor · Dissolved oxygen kit (Atlas EZO-DO)</t>
        </is>
      </c>
      <c r="E61" s="12" t="inlineStr">
        <is>
          <t>ESP32, aerator relay, float mount, solar</t>
        </is>
      </c>
      <c r="F61" s="29" t="inlineStr">
        <is>
          <t>$230</t>
        </is>
      </c>
      <c r="G61" s="29" t="inlineStr">
        <is>
          <t>$184</t>
        </is>
      </c>
      <c r="H61" s="29" t="n">
        <v>4</v>
      </c>
      <c r="I61" s="12" t="inlineStr">
        <is>
          <t>Water, Grow, Safety</t>
        </is>
      </c>
      <c r="J61" s="12" t="inlineStr">
        <is>
          <t>Acting on the rate of change rather than the level buys hours of warning. Expensive sensor, but the fish are usually worth more.</t>
        </is>
      </c>
    </row>
    <row r="62" ht="54" customHeight="1">
      <c r="A62" s="29" t="n">
        <v>58</v>
      </c>
      <c r="B62" s="100" t="inlineStr">
        <is>
          <t>Well Whisperer</t>
        </is>
      </c>
      <c r="C62" s="12" t="inlineStr">
        <is>
          <t>Clamp-on flow plus pump current tells you the well's real yield, the pump's efficiency trend, and whether the water table is dropping season over season — without a plumber.</t>
        </is>
      </c>
      <c r="D62" s="12" t="inlineStr">
        <is>
          <t>JSN-SR04T waterproof ultrasonic · ACS712 Hall current · Transit-time ultrasonic flow (clamp-on)</t>
        </is>
      </c>
      <c r="E62" s="12" t="inlineStr">
        <is>
          <t>ESP32, RS-485 adapter, enclosure</t>
        </is>
      </c>
      <c r="F62" s="29" t="inlineStr">
        <is>
          <t>$140</t>
        </is>
      </c>
      <c r="G62" s="29" t="inlineStr">
        <is>
          <t>$94</t>
        </is>
      </c>
      <c r="H62" s="29" t="n">
        <v>4</v>
      </c>
      <c r="I62" s="12" t="inlineStr">
        <is>
          <t>Water, MachineHealth, Time</t>
        </is>
      </c>
      <c r="J62" s="12" t="inlineStr">
        <is>
          <t>Non-invasive metering on existing pipework, plus a pump-health signature that predicts the failure everyone finds out about at the worst moment.</t>
        </is>
      </c>
    </row>
    <row r="63" ht="54" customHeight="1">
      <c r="A63" s="29" t="n">
        <v>59</v>
      </c>
      <c r="B63" s="100" t="inlineStr">
        <is>
          <t>Kitchen Truth Hood</t>
        </is>
      </c>
      <c r="C63" s="12" t="inlineStr">
        <is>
          <t>A hood that runs because of what cooking is actually producing — particulates, VOCs and humidity — rather than because someone remembered to press a button.</t>
        </is>
      </c>
      <c r="D63" s="12" t="inlineStr">
        <is>
          <t>MLX90614 IR thermometer · SHT41 humidity + temp · SGP40 VOC index · PMS5003 particulate</t>
        </is>
      </c>
      <c r="E63" s="12" t="inlineStr">
        <is>
          <t>ESP32, fan speed control, magnet mount</t>
        </is>
      </c>
      <c r="F63" s="29" t="inlineStr">
        <is>
          <t>$60</t>
        </is>
      </c>
      <c r="G63" s="29" t="inlineStr">
        <is>
          <t>$41</t>
        </is>
      </c>
      <c r="H63" s="29" t="n">
        <v>3</v>
      </c>
      <c r="I63" s="12" t="inlineStr">
        <is>
          <t>Air, Home, Health</t>
        </is>
      </c>
      <c r="J63" s="12" t="inlineStr">
        <is>
          <t>Gas and even electric hobs are a major indoor pollution source, and extraction is almost always run too little and too late. The IR spot on the pan is the anticipation trick.</t>
        </is>
      </c>
    </row>
    <row r="64" ht="54" customHeight="1">
      <c r="A64" s="29" t="n">
        <v>60</v>
      </c>
      <c r="B64" s="100" t="inlineStr">
        <is>
          <t>The Commute You Breathe</t>
        </is>
      </c>
      <c r="C64" s="12" t="inlineStr">
        <is>
          <t>A handlebar or backpack node logging particulates and gases against GPS, producing a personal pollution map — then routing you down the cleaner parallel street.</t>
        </is>
      </c>
      <c r="D64" s="12" t="inlineStr">
        <is>
          <t>SHT41 humidity + temp · MiCS-6814 tri-gas · PMS5003 particulate · NEO-6M GPS</t>
        </is>
      </c>
      <c r="E64" s="12" t="inlineStr">
        <is>
          <t>ESP32-C3, LiPo, SD, printed mount</t>
        </is>
      </c>
      <c r="F64" s="29" t="inlineStr">
        <is>
          <t>$90</t>
        </is>
      </c>
      <c r="G64" s="29" t="inlineStr">
        <is>
          <t>$49</t>
        </is>
      </c>
      <c r="H64" s="29" t="n">
        <v>3</v>
      </c>
      <c r="I64" s="12" t="inlineStr">
        <is>
          <t>Air, Health, Wild</t>
        </is>
      </c>
      <c r="J64" s="12" t="inlineStr">
        <is>
          <t>Personal exposure differs enormously from the city average, and one street over is often dramatically cleaner. Nobody knows this until they measure it.</t>
        </is>
      </c>
    </row>
    <row r="65" ht="54" customHeight="1">
      <c r="A65" s="29" t="n">
        <v>61</v>
      </c>
      <c r="B65" s="100" t="inlineStr">
        <is>
          <t>Cellar Damp Detective</t>
        </is>
      </c>
      <c r="C65" s="12" t="inlineStr">
        <is>
          <t>Distinguishes the three causes of a damp wall — condensation, rising damp and a leak — by comparing surface temperature against dew point over weeks.</t>
        </is>
      </c>
      <c r="D65" s="12" t="inlineStr">
        <is>
          <t>MLX90614 IR thermometer · SHT41 humidity + temp · Capacitive soil moisture v2</t>
        </is>
      </c>
      <c r="E65" s="12" t="inlineStr">
        <is>
          <t>ESP32, wall mount, ePaper</t>
        </is>
      </c>
      <c r="F65" s="29" t="inlineStr">
        <is>
          <t>$45</t>
        </is>
      </c>
      <c r="G65" s="29" t="inlineStr">
        <is>
          <t>$16</t>
        </is>
      </c>
      <c r="H65" s="29" t="n">
        <v>3</v>
      </c>
      <c r="I65" s="12" t="inlineStr">
        <is>
          <t>Air, Home, Time</t>
        </is>
      </c>
      <c r="J65" s="12" t="inlineStr">
        <is>
          <t>Damp is routinely misdiagnosed and expensively mistreated. Surface temperature versus dew point separates condensation from everything else — that one comparison is the diagnosis.</t>
        </is>
      </c>
    </row>
    <row r="66" ht="54" customHeight="1">
      <c r="A66" s="29" t="n">
        <v>62</v>
      </c>
      <c r="B66" s="100" t="inlineStr">
        <is>
          <t>Solar Honesty Meter</t>
        </is>
      </c>
      <c r="C66" s="12" t="inlineStr">
        <is>
          <t>Measured irradiance against measured array output gives a live performance ratio — so dirt, shading and degradation show up as pounds per month rather than a vague feeling.</t>
        </is>
      </c>
      <c r="D66" s="12" t="inlineStr">
        <is>
          <t>DS18B20 digital temp probe · Pyranometer (solar irradiance) · INA226/INA228 precision power</t>
        </is>
      </c>
      <c r="E66" s="12" t="inlineStr">
        <is>
          <t>ESP32, DC current shunt, weatherproof case</t>
        </is>
      </c>
      <c r="F66" s="29" t="inlineStr">
        <is>
          <t>$110</t>
        </is>
      </c>
      <c r="G66" s="29" t="inlineStr">
        <is>
          <t>$68</t>
        </is>
      </c>
      <c r="H66" s="29" t="n">
        <v>3</v>
      </c>
      <c r="I66" s="12" t="inlineStr">
        <is>
          <t>Energy, Wild, Time</t>
        </is>
      </c>
      <c r="J66" s="12" t="inlineStr">
        <is>
          <t>Inverter apps report output but never expected output. The ratio is the only number that tells you whether cleaning the panels is worth doing.</t>
        </is>
      </c>
    </row>
    <row r="67" ht="54" customHeight="1">
      <c r="A67" s="29" t="n">
        <v>63</v>
      </c>
      <c r="B67" s="100" t="inlineStr">
        <is>
          <t>Standby Assassin</t>
        </is>
      </c>
      <c r="C67" s="12" t="inlineStr">
        <is>
          <t>A rotating per-socket meter that spends a week on each appliance and produces a ranked list of what your house wastes doing nothing — with an annual cost against each.</t>
        </is>
      </c>
      <c r="D67" s="12" t="inlineStr">
        <is>
          <t>PZEM-004T AC power module</t>
        </is>
      </c>
      <c r="E67" s="12" t="inlineStr">
        <is>
          <t>ESP32-C3, socket passthrough enclosure, display</t>
        </is>
      </c>
      <c r="F67" s="29" t="inlineStr">
        <is>
          <t>$35</t>
        </is>
      </c>
      <c r="G67" s="29" t="inlineStr">
        <is>
          <t>$11</t>
        </is>
      </c>
      <c r="H67" s="29" t="n">
        <v>3</v>
      </c>
      <c r="I67" s="12" t="inlineStr">
        <is>
          <t>Energy, Home, Time</t>
        </is>
      </c>
      <c r="J67" s="12" t="inlineStr">
        <is>
          <t>Phantom load is invisible and universally underestimated. A ranked list with money attached changes behaviour in a way a dashboard never does.</t>
        </is>
      </c>
    </row>
    <row r="68" ht="54" customHeight="1">
      <c r="A68" s="29" t="n">
        <v>64</v>
      </c>
      <c r="B68" s="100" t="inlineStr">
        <is>
          <t>Off-Grid Energy Ledger</t>
        </is>
      </c>
      <c r="C68" s="12" t="inlineStr">
        <is>
          <t>Three-channel monitoring of solar in, battery store and load out, with a running energy balance — so an off-grid node can prove it banks more than it spends.</t>
        </is>
      </c>
      <c r="D68" s="12" t="inlineStr">
        <is>
          <t>DS18B20 digital temp probe · INA3221 triple-channel power</t>
        </is>
      </c>
      <c r="E68" s="12" t="inlineStr">
        <is>
          <t>ESP32, MPPT module, supercap or LiPo, SD</t>
        </is>
      </c>
      <c r="F68" s="29" t="inlineStr">
        <is>
          <t>$60</t>
        </is>
      </c>
      <c r="G68" s="29" t="inlineStr">
        <is>
          <t>$6</t>
        </is>
      </c>
      <c r="H68" s="29" t="n">
        <v>3</v>
      </c>
      <c r="I68" s="12" t="inlineStr">
        <is>
          <t>Energy, Wild, Time</t>
        </is>
      </c>
      <c r="J68" s="12" t="inlineStr">
        <is>
          <t>Every remote node eventually dies at 4am in February. Coulomb-level accounting is the only way to know whether the design actually closes.</t>
        </is>
      </c>
    </row>
    <row r="69" ht="54" customHeight="1">
      <c r="A69" s="29" t="n">
        <v>65</v>
      </c>
      <c r="B69" s="100" t="inlineStr">
        <is>
          <t>Workshop Cooldown Guardian</t>
        </is>
      </c>
      <c r="C69" s="12" t="inlineStr">
        <is>
          <t>After you finish soldering, welding or using a heat gun, it watches the bench for 30 minutes with flame and thermal sensing — the period when workshop fires actually start.</t>
        </is>
      </c>
      <c r="D69" s="12" t="inlineStr">
        <is>
          <t>MQ-2 smoke/LPG gas · Grid-EYE AMG8833 thermal array · IR flame detector (flicker)</t>
        </is>
      </c>
      <c r="E69" s="12" t="inlineStr">
        <is>
          <t>ESP32, buzzer, smart plug control</t>
        </is>
      </c>
      <c r="F69" s="29" t="inlineStr">
        <is>
          <t>$70</t>
        </is>
      </c>
      <c r="G69" s="29" t="inlineStr">
        <is>
          <t>$39</t>
        </is>
      </c>
      <c r="H69" s="29" t="n">
        <v>3</v>
      </c>
      <c r="I69" s="12" t="inlineStr">
        <is>
          <t>Safety, MachineHealth, Home</t>
        </is>
      </c>
      <c r="J69" s="12" t="inlineStr">
        <is>
          <t>Hot-work fires are famously delayed — the ignition happens after everyone has left. A timed post-work watch is a genuinely novel and cheap intervention.</t>
        </is>
      </c>
    </row>
    <row r="70" ht="54" customHeight="1">
      <c r="A70" s="29" t="n">
        <v>66</v>
      </c>
      <c r="B70" s="100" t="inlineStr">
        <is>
          <t>Ladder Angle Buddy</t>
        </is>
      </c>
      <c r="C70" s="12" t="inlineStr">
        <is>
          <t>A magnetic puck on a ladder rung that vibrates and lights green only at a safe 75° angle, and warns if the ladder shifts while you are up it.</t>
        </is>
      </c>
      <c r="D70" s="12" t="inlineStr">
        <is>
          <t>LIS3DH budget accel · Inclinometer SCL3300</t>
        </is>
      </c>
      <c r="E70" s="12" t="inlineStr">
        <is>
          <t>ESP32-C3, LiPo, haptic motor, magnet mount</t>
        </is>
      </c>
      <c r="F70" s="29" t="inlineStr">
        <is>
          <t>$55</t>
        </is>
      </c>
      <c r="G70" s="29" t="inlineStr">
        <is>
          <t>$38</t>
        </is>
      </c>
      <c r="H70" s="29" t="n">
        <v>2</v>
      </c>
      <c r="I70" s="12" t="inlineStr">
        <is>
          <t>Safety, Motion, Home</t>
        </is>
      </c>
      <c r="J70" s="12" t="inlineStr">
        <is>
          <t>Ladder falls are a leading cause of serious domestic and workplace injury, and the correct angle is a single measurable number that almost nobody checks.</t>
        </is>
      </c>
    </row>
    <row r="71" ht="54" customHeight="1">
      <c r="A71" s="29" t="n">
        <v>67</v>
      </c>
      <c r="B71" s="100" t="inlineStr">
        <is>
          <t>Freezer Grace Period</t>
        </is>
      </c>
      <c r="C71" s="12" t="inlineStr">
        <is>
          <t>Watches the door, the temperature and the compressor current together, so it can tell 'door left ajar' from 'compressor has died' — and tells you how many hours of food you have left.</t>
        </is>
      </c>
      <c r="D71" s="12" t="inlineStr">
        <is>
          <t>MCP9808 precision temp · Reed switch · ACS712 Hall current</t>
        </is>
      </c>
      <c r="E71" s="12" t="inlineStr">
        <is>
          <t>ESP32-C3, LiPo backup, push alerts</t>
        </is>
      </c>
      <c r="F71" s="29" t="inlineStr">
        <is>
          <t>$35</t>
        </is>
      </c>
      <c r="G71" s="29" t="inlineStr">
        <is>
          <t>$8</t>
        </is>
      </c>
      <c r="H71" s="29" t="n">
        <v>2</v>
      </c>
      <c r="I71" s="12" t="inlineStr">
        <is>
          <t>Safety, Home, MachineHealth</t>
        </is>
      </c>
      <c r="J71" s="12" t="inlineStr">
        <is>
          <t>A plain temperature alarm fires far too late. Diagnosing the CAUSE from three cheap signals is what turns an alert into an actionable hour count.</t>
        </is>
      </c>
    </row>
    <row r="72" ht="54" customHeight="1">
      <c r="A72" s="29" t="n">
        <v>68</v>
      </c>
      <c r="B72" s="100" t="inlineStr">
        <is>
          <t>Bearing Prophet</t>
        </is>
      </c>
      <c r="C72" s="12" t="inlineStr">
        <is>
          <t>A high-rate accelerometer on a motor, an FFT on the ESP32, and a baseline recorded when everything was healthy. Alerts on the spectral drift that precedes failure by weeks.</t>
        </is>
      </c>
      <c r="D72" s="12" t="inlineStr">
        <is>
          <t>MLX90614 IR thermometer · ACS712 Hall current · KX132 low-power accel</t>
        </is>
      </c>
      <c r="E72" s="12" t="inlineStr">
        <is>
          <t>ESP32-S3, magnetic mount, MQTT</t>
        </is>
      </c>
      <c r="F72" s="29" t="inlineStr">
        <is>
          <t>$45</t>
        </is>
      </c>
      <c r="G72" s="29" t="inlineStr">
        <is>
          <t>$17</t>
        </is>
      </c>
      <c r="H72" s="29" t="n">
        <v>4</v>
      </c>
      <c r="I72" s="12" t="inlineStr">
        <is>
          <t>MachineHealth, Industry, Time</t>
        </is>
      </c>
      <c r="J72" s="12" t="inlineStr">
        <is>
          <t>Vibration, temperature and current together are far more reliable than any one of them. The 25kHz sample rate is what makes bearing frequencies visible at all.</t>
        </is>
      </c>
    </row>
    <row r="73" ht="54" customHeight="1">
      <c r="A73" s="29" t="n">
        <v>69</v>
      </c>
      <c r="B73" s="100" t="inlineStr">
        <is>
          <t>3D Printer Sixth Sense</t>
        </is>
      </c>
      <c r="C73" s="12" t="inlineStr">
        <is>
          <t>Listens to the printer's frame and watches its power draw to detect layer shifts, filament runout and spaghetti failures — without a camera or a cloud subscription.</t>
        </is>
      </c>
      <c r="D73" s="12" t="inlineStr">
        <is>
          <t>VL53L0X ToF laser · Piezo contact mic / disc · ACS712 Hall current</t>
        </is>
      </c>
      <c r="E73" s="12" t="inlineStr">
        <is>
          <t>ESP32-S3, pause relay or Klipper webhook</t>
        </is>
      </c>
      <c r="F73" s="29" t="inlineStr">
        <is>
          <t>$35</t>
        </is>
      </c>
      <c r="G73" s="29" t="inlineStr">
        <is>
          <t>$8</t>
        </is>
      </c>
      <c r="H73" s="29" t="n">
        <v>4</v>
      </c>
      <c r="I73" s="12" t="inlineStr">
        <is>
          <t>MachineHealth, Play, Time</t>
        </is>
      </c>
      <c r="J73" s="12" t="inlineStr">
        <is>
          <t>Acoustic and current signatures catch failure modes a camera misses, and the ToF spool gauge answers 'will this print finish' before you start it.</t>
        </is>
      </c>
    </row>
    <row r="74" ht="54" customHeight="1">
      <c r="A74" s="29" t="n">
        <v>70</v>
      </c>
      <c r="B74" s="100" t="inlineStr">
        <is>
          <t>Compressor Duty Diary</t>
        </is>
      </c>
      <c r="C74" s="12" t="inlineStr">
        <is>
          <t>Logs every start, run and pressure cycle of a compressor or fridge, revealing shortening cycles and lengthening runs — the two signatures of a system losing charge.</t>
        </is>
      </c>
      <c r="D74" s="12" t="inlineStr">
        <is>
          <t>DS18B20 digital temp probe · MPRLS ported pressure · ACS712 Hall current</t>
        </is>
      </c>
      <c r="E74" s="12" t="inlineStr">
        <is>
          <t>ESP32, current clamp, tee fitting</t>
        </is>
      </c>
      <c r="F74" s="29" t="inlineStr">
        <is>
          <t>$50</t>
        </is>
      </c>
      <c r="G74" s="29" t="inlineStr">
        <is>
          <t>$20</t>
        </is>
      </c>
      <c r="H74" s="29" t="n">
        <v>3</v>
      </c>
      <c r="I74" s="12" t="inlineStr">
        <is>
          <t>MachineHealth, Energy, Time</t>
        </is>
      </c>
      <c r="J74" s="12" t="inlineStr">
        <is>
          <t>Cycle-time trend is a leading indicator that requires no domain expertise to interpret once you have the baseline.</t>
        </is>
      </c>
    </row>
    <row r="75" ht="54" customHeight="1">
      <c r="A75" s="29" t="n">
        <v>71</v>
      </c>
      <c r="B75" s="100" t="inlineStr">
        <is>
          <t>Teach-and-Repeat Arm</t>
        </is>
      </c>
      <c r="C75" s="12" t="inlineStr">
        <is>
          <t>Magnetic encoders on every joint let you move a robot arm by hand to teach a motion, then replay it exactly. Programming by demonstration, no kinematics required.</t>
        </is>
      </c>
      <c r="D75" s="12" t="inlineStr">
        <is>
          <t>BNO086 high-perf fusion IMU · AS5048A 14-bit angle</t>
        </is>
      </c>
      <c r="E75" s="12" t="inlineStr">
        <is>
          <t>ESP32-S3, servos or steppers, printed arm, teach button</t>
        </is>
      </c>
      <c r="F75" s="29" t="inlineStr">
        <is>
          <t>$180</t>
        </is>
      </c>
      <c r="G75" s="29" t="inlineStr">
        <is>
          <t>$34</t>
        </is>
      </c>
      <c r="H75" s="29" t="n">
        <v>5</v>
      </c>
      <c r="I75" s="12" t="inlineStr">
        <is>
          <t>Robots, Play, Touch</t>
        </is>
      </c>
      <c r="J75" s="12" t="inlineStr">
        <is>
          <t>Teaching by demonstration is how industrial robots are actually programmed, and it makes robotics tangible in a way code never does.</t>
        </is>
      </c>
    </row>
    <row r="76" ht="54" customHeight="1">
      <c r="A76" s="29" t="n">
        <v>72</v>
      </c>
      <c r="B76" s="100" t="inlineStr">
        <is>
          <t>Terrain-Aware Rover</t>
        </is>
      </c>
      <c r="C76" s="12" t="inlineStr">
        <is>
          <t>Optical flow for true ground speed, IMU for attitude, and ToF for obstacles — a rover that knows when its wheels are slipping rather than just how fast they are turning.</t>
        </is>
      </c>
      <c r="D76" s="12" t="inlineStr">
        <is>
          <t>VL53L1X long-range ToF · BNO086 high-perf fusion IMU</t>
        </is>
      </c>
      <c r="E76" s="12" t="inlineStr">
        <is>
          <t>ESP32-S3, motor drivers, chassis, LiPo</t>
        </is>
      </c>
      <c r="F76" s="29" t="inlineStr">
        <is>
          <t>$140</t>
        </is>
      </c>
      <c r="G76" s="29" t="inlineStr">
        <is>
          <t>$34</t>
        </is>
      </c>
      <c r="H76" s="29" t="n">
        <v>4</v>
      </c>
      <c r="I76" s="12" t="inlineStr">
        <is>
          <t>Robots, Motion, Wild</t>
        </is>
      </c>
      <c r="J76" s="12" t="inlineStr">
        <is>
          <t>Wheel encoders lie the moment there is slip, which outdoors is constantly. Optical flow is the cheap fix and is under-used in hobby robotics.</t>
        </is>
      </c>
    </row>
    <row r="77" ht="54" customHeight="1">
      <c r="A77" s="29" t="n">
        <v>73</v>
      </c>
      <c r="B77" s="100" t="inlineStr">
        <is>
          <t>Follow-Me Cart</t>
        </is>
      </c>
      <c r="C77" s="12" t="inlineStr">
        <is>
          <t>A UWB tag in your pocket and three anchors on a cart give centimetre-accurate relative position, so a trolley, mower or camera rig follows you at a fixed distance and bearing.</t>
        </is>
      </c>
      <c r="D77" s="12" t="inlineStr">
        <is>
          <t>VL53L1X long-range ToF · BNO086 high-perf fusion IMU</t>
        </is>
      </c>
      <c r="E77" s="12" t="inlineStr">
        <is>
          <t>ESP32, motor drivers, cart frame, LiPo</t>
        </is>
      </c>
      <c r="F77" s="29" t="inlineStr">
        <is>
          <t>$200</t>
        </is>
      </c>
      <c r="G77" s="29" t="inlineStr">
        <is>
          <t>$34</t>
        </is>
      </c>
      <c r="H77" s="29" t="n">
        <v>5</v>
      </c>
      <c r="I77" s="12" t="inlineStr">
        <is>
          <t>Robots, Motion, Access</t>
        </is>
      </c>
      <c r="J77" s="12" t="inlineStr">
        <is>
          <t>UWB made relative positioning cheap and precise, and following a person is a far easier problem than autonomous navigation while feeling just as magical.</t>
        </is>
      </c>
    </row>
    <row r="78" ht="54" customHeight="1">
      <c r="A78" s="29" t="n">
        <v>74</v>
      </c>
      <c r="B78" s="100" t="inlineStr">
        <is>
          <t>The Weather Instrument</t>
        </is>
      </c>
      <c r="C78" s="12" t="inlineStr">
        <is>
          <t>A physical instrument whose pitch, timbre and rhythm are driven by live weather — wind speed to tremolo, pressure to pitch, rain to percussion. Your house, audible.</t>
        </is>
      </c>
      <c r="D78" s="12" t="inlineStr">
        <is>
          <t>BMP390 precision barometer · Anemometer cup sensor · Wind vane · Tipping bucket rain gauge</t>
        </is>
      </c>
      <c r="E78" s="12" t="inlineStr">
        <is>
          <t>ESP32-S3, I2S DAC, amplifier, speaker</t>
        </is>
      </c>
      <c r="F78" s="29" t="inlineStr">
        <is>
          <t>$95</t>
        </is>
      </c>
      <c r="G78" s="29" t="inlineStr">
        <is>
          <t>$46</t>
        </is>
      </c>
      <c r="H78" s="29" t="n">
        <v>3</v>
      </c>
      <c r="I78" s="12" t="inlineStr">
        <is>
          <t>Play, Wild, Time</t>
        </is>
      </c>
      <c r="J78" s="12" t="inlineStr">
        <is>
          <t>Data sonification is genuinely underexplored and weather is the most emotionally legible dataset there is. It also runs forever with no interaction.</t>
        </is>
      </c>
    </row>
    <row r="79" ht="54" customHeight="1">
      <c r="A79" s="29" t="n">
        <v>75</v>
      </c>
      <c r="B79" s="100" t="inlineStr">
        <is>
          <t>Gravity Well</t>
        </is>
      </c>
      <c r="C79" s="12" t="inlineStr">
        <is>
          <t>A table that senses where people stand around it and moves projected light as if their mass warped a shared surface — general relativity you can feel.</t>
        </is>
      </c>
      <c r="D79" s="12" t="inlineStr">
        <is>
          <t>VL53L5CX 8x8 ToF array · LD2450 multi-target tracking radar</t>
        </is>
      </c>
      <c r="E79" s="12" t="inlineStr">
        <is>
          <t>ESP32-S3, short-throw projector, PC or Pi for rendering</t>
        </is>
      </c>
      <c r="F79" s="29" t="inlineStr">
        <is>
          <t>$180</t>
        </is>
      </c>
      <c r="G79" s="29" t="inlineStr">
        <is>
          <t>$32</t>
        </is>
      </c>
      <c r="H79" s="29" t="n">
        <v>4</v>
      </c>
      <c r="I79" s="12" t="inlineStr">
        <is>
          <t>Play, Motion, Invisible</t>
        </is>
      </c>
      <c r="J79" s="12" t="inlineStr">
        <is>
          <t>Multi-target radar makes crowd-responsive art tractable without cameras, which is what gets installations approved in public venues.</t>
        </is>
      </c>
    </row>
    <row r="80" ht="54" customHeight="1">
      <c r="A80" s="29" t="n">
        <v>76</v>
      </c>
      <c r="B80" s="100" t="inlineStr">
        <is>
          <t>Memory Jar</t>
        </is>
      </c>
      <c r="C80" s="12" t="inlineStr">
        <is>
          <t>An object that records the ambient conditions of a moment — light, sound level, temperature, who was present via BLE — and replays them as colour and tone a year later.</t>
        </is>
      </c>
      <c r="D80" s="12" t="inlineStr">
        <is>
          <t>SHT41 humidity + temp · VEML7700 high-accuracy lux · INMP441 I2S MEMS mic</t>
        </is>
      </c>
      <c r="E80" s="12" t="inlineStr">
        <is>
          <t>ESP32-C3, WS2812, speaker, glass vessel, flash storage</t>
        </is>
      </c>
      <c r="F80" s="29" t="inlineStr">
        <is>
          <t>$45</t>
        </is>
      </c>
      <c r="G80" s="29" t="inlineStr">
        <is>
          <t>$14</t>
        </is>
      </c>
      <c r="H80" s="29" t="n">
        <v>3</v>
      </c>
      <c r="I80" s="12" t="inlineStr">
        <is>
          <t>Play, Time, Home</t>
        </is>
      </c>
      <c r="J80" s="12" t="inlineStr">
        <is>
          <t>Sensing as sentiment rather than utility. The technical content is modest; the emotional content is the whole point, and that is a legitimate design target.</t>
        </is>
      </c>
    </row>
    <row r="81" ht="54" customHeight="1">
      <c r="A81" s="29" t="n">
        <v>77</v>
      </c>
      <c r="B81" s="100" t="inlineStr">
        <is>
          <t>The Wall Has Wires</t>
        </is>
      </c>
      <c r="C81" s="12" t="inlineStr">
        <is>
          <t>A sweepable wand that maps what is behind a wall — metal via inductance, live wiring via field, studs via capacitance — and draws it as you move across the surface.</t>
        </is>
      </c>
      <c r="D81" s="12" t="inlineStr">
        <is>
          <t>MLX90393 wide-range 3D mag · LDC1612 inductive sensing</t>
        </is>
      </c>
      <c r="E81" s="12" t="inlineStr">
        <is>
          <t>ESP32-S3, small TFT, printed wand, wheel encoder</t>
        </is>
      </c>
      <c r="F81" s="29" t="inlineStr">
        <is>
          <t>$75</t>
        </is>
      </c>
      <c r="G81" s="29" t="inlineStr">
        <is>
          <t>$17</t>
        </is>
      </c>
      <c r="H81" s="29" t="n">
        <v>5</v>
      </c>
      <c r="I81" s="12" t="inlineStr">
        <is>
          <t>Invisible, Home, MachineHealth</t>
        </is>
      </c>
      <c r="J81" s="12" t="inlineStr">
        <is>
          <t>Commercial multi-mode detectors are expensive and give a beep. Building the map as you sweep is both more useful and a genuinely satisfying sensor-fusion exercise.</t>
        </is>
      </c>
    </row>
    <row r="82" ht="54" customHeight="1">
      <c r="A82" s="29" t="n">
        <v>78</v>
      </c>
      <c r="B82" s="100" t="inlineStr">
        <is>
          <t>Radio Weather Map</t>
        </is>
      </c>
      <c r="C82" s="12" t="inlineStr">
        <is>
          <t>A slowly rotating directional antenna logging RF power by bearing and frequency — a polar map of your electromagnetic environment, updated hourly.</t>
        </is>
      </c>
      <c r="D82" s="12" t="inlineStr">
        <is>
          <t>QMC5883L compass · EMF / RF field probes</t>
        </is>
      </c>
      <c r="E82" s="12" t="inlineStr">
        <is>
          <t>ESP32, stepper, directional antenna, mast</t>
        </is>
      </c>
      <c r="F82" s="29" t="inlineStr">
        <is>
          <t>$90</t>
        </is>
      </c>
      <c r="G82" s="29" t="inlineStr">
        <is>
          <t>$14</t>
        </is>
      </c>
      <c r="H82" s="29" t="n">
        <v>5</v>
      </c>
      <c r="I82" s="12" t="inlineStr">
        <is>
          <t>Invisible, Wild, Time</t>
        </is>
      </c>
      <c r="J82" s="12" t="inlineStr">
        <is>
          <t>Direction plus time turns a meaningless scalar into a map that reveals your neighbours' transmitters, interference sources and diurnal patterns.</t>
        </is>
      </c>
    </row>
    <row r="83" ht="54" customHeight="1">
      <c r="A83" s="29" t="n">
        <v>79</v>
      </c>
      <c r="B83" s="100" t="inlineStr">
        <is>
          <t>Bat Corridor Mapper</t>
        </is>
      </c>
      <c r="C83" s="12" t="inlineStr">
        <is>
          <t>Several time-synced ultrasonic nodes along a hedgerow reveal not just that bats are present but which way they commute, and when — a flight-corridor map.</t>
        </is>
      </c>
      <c r="D83" s="12" t="inlineStr">
        <is>
          <t>SHT31 weatherproof probe · Ultrasonic mic experiments · GPS PPS time source</t>
        </is>
      </c>
      <c r="E83" s="12" t="inlineStr">
        <is>
          <t>ESP32-S3 x3, SD, solar, weatherproof cases</t>
        </is>
      </c>
      <c r="F83" s="29" t="inlineStr">
        <is>
          <t>$170</t>
        </is>
      </c>
      <c r="G83" s="29" t="inlineStr">
        <is>
          <t>$28</t>
        </is>
      </c>
      <c r="H83" s="29" t="n">
        <v>5</v>
      </c>
      <c r="I83" s="12" t="inlineStr">
        <is>
          <t>Invisible, Wild, Fleet</t>
        </is>
      </c>
      <c r="J83" s="12" t="inlineStr">
        <is>
          <t>Bat commuting routes are legally protected and expensive to survey. Time-synced nodes turn presence detection into directional data, which is the part that matters.</t>
        </is>
      </c>
    </row>
    <row r="84" ht="54" customHeight="1">
      <c r="A84" s="29" t="n">
        <v>80</v>
      </c>
      <c r="B84" s="100" t="inlineStr">
        <is>
          <t>Legacy Machine Digital Twin</t>
        </is>
      </c>
      <c r="C84" s="12" t="inlineStr">
        <is>
          <t>Bolts onto a machine with no data interface at all and reconstructs its state from the outside: current, vibration, temperature, cycle counts. A 1980s machine on a dashboard.</t>
        </is>
      </c>
      <c r="D84" s="12" t="inlineStr">
        <is>
          <t>MLX90614 IR thermometer · ACS712 Hall current · KX132 low-power accel · Inductive proximity switch M12/M18</t>
        </is>
      </c>
      <c r="E84" s="12" t="inlineStr">
        <is>
          <t>ESP32, DIN enclosure, 24V supply, Modbus or MQTT uplink</t>
        </is>
      </c>
      <c r="F84" s="29" t="inlineStr">
        <is>
          <t>$120</t>
        </is>
      </c>
      <c r="G84" s="29" t="inlineStr">
        <is>
          <t>$20</t>
        </is>
      </c>
      <c r="H84" s="29" t="n">
        <v>4</v>
      </c>
      <c r="I84" s="12" t="inlineStr">
        <is>
          <t>Industry, MachineHealth, Time</t>
        </is>
      </c>
      <c r="J84" s="12" t="inlineStr">
        <is>
          <t>Most machines in the world predate connectivity and will never be replaced. External instrumentation is the entire retrofit market, and it is mostly unserved at this price.</t>
        </is>
      </c>
    </row>
    <row r="85" ht="54" customHeight="1">
      <c r="A85" s="29" t="n">
        <v>81</v>
      </c>
      <c r="B85" s="100" t="inlineStr">
        <is>
          <t>Cold Chain Black Box</t>
        </is>
      </c>
      <c r="C85" s="12" t="inlineStr">
        <is>
          <t>A tamper-evident logger that rides with a shipment recording temperature, humidity, shock, tilt and light — light meaning the box was opened.</t>
        </is>
      </c>
      <c r="D85" s="12" t="inlineStr">
        <is>
          <t>TMP117 ultra-precise temp · SHT41 humidity + temp · VEML7700 high-accuracy lux · High-g accel ADXL375</t>
        </is>
      </c>
      <c r="E85" s="12" t="inlineStr">
        <is>
          <t>ESP32-C3, LiPo, flash, NFC readout</t>
        </is>
      </c>
      <c r="F85" s="29" t="inlineStr">
        <is>
          <t>$70</t>
        </is>
      </c>
      <c r="G85" s="29" t="inlineStr">
        <is>
          <t>$40</t>
        </is>
      </c>
      <c r="H85" s="29" t="n">
        <v>3</v>
      </c>
      <c r="I85" s="12" t="inlineStr">
        <is>
          <t>Industry, Access, Time</t>
        </is>
      </c>
      <c r="J85" s="12" t="inlineStr">
        <is>
          <t>Light as an intrusion sensor is the elegant part: a sealed box should be dark, so any photon is an event. NFC readout means the box never has to be opened to be read.</t>
        </is>
      </c>
    </row>
    <row r="86" ht="54" customHeight="1">
      <c r="A86" s="29" t="n">
        <v>82</v>
      </c>
      <c r="B86" s="100" t="inlineStr">
        <is>
          <t>Loop-Powered Bridge</t>
        </is>
      </c>
      <c r="C86" s="12" t="inlineStr">
        <is>
          <t>Reads existing 4-20mA industrial transmitters — the sensors already installed in every plant room on earth — and republishes them as MQTT without touching the control system.</t>
        </is>
      </c>
      <c r="D86" s="12" t="inlineStr">
        <is>
          <t>RS-485 soil NPK/EC probe</t>
        </is>
      </c>
      <c r="E86" s="12" t="inlineStr">
        <is>
          <t>ESP32, 250R precision resistor, isolated ADC, DIN rail, 24V supply</t>
        </is>
      </c>
      <c r="F86" s="29" t="inlineStr">
        <is>
          <t>$90</t>
        </is>
      </c>
      <c r="G86" s="29" t="inlineStr">
        <is>
          <t>$40</t>
        </is>
      </c>
      <c r="H86" s="29" t="n">
        <v>4</v>
      </c>
      <c r="I86" s="12" t="inlineStr">
        <is>
          <t>Industry, Energy, Fleet</t>
        </is>
      </c>
      <c r="J86" s="12" t="inlineStr">
        <is>
          <t>4-20mA is the most widely deployed sensor interface in existence and the most ignored by makers. Reading it is a resistor and an ADC, and it unlocks decades of installed hardware.</t>
        </is>
      </c>
    </row>
    <row r="87" ht="54" customHeight="1">
      <c r="A87" s="29" t="n">
        <v>83</v>
      </c>
      <c r="B87" s="100" t="inlineStr">
        <is>
          <t>Street Temperature Quilt</t>
        </is>
      </c>
      <c r="C87" s="12" t="inlineStr">
        <is>
          <t>Twenty lent-out nodes across a neighbourhood produce a street-by-street heat map, showing which roads are ovens and which tree-lined stretches actually work.</t>
        </is>
      </c>
      <c r="D87" s="12" t="inlineStr">
        <is>
          <t>VEML7700 high-accuracy lux · AHT20 temp/humidity</t>
        </is>
      </c>
      <c r="E87" s="12" t="inlineStr">
        <is>
          <t>ESP32-C3 x20, solar cases, LoRa or Wi-Fi, public map</t>
        </is>
      </c>
      <c r="F87" s="29" t="inlineStr">
        <is>
          <t>$280</t>
        </is>
      </c>
      <c r="G87" s="29" t="inlineStr">
        <is>
          <t>$7</t>
        </is>
      </c>
      <c r="H87" s="29" t="n">
        <v>3</v>
      </c>
      <c r="I87" s="12" t="inlineStr">
        <is>
          <t>Fleet, Wild, Home</t>
        </is>
      </c>
      <c r="J87" s="12" t="inlineStr">
        <is>
          <t>Urban heat islands kill people and are invisible at city-average resolution. Twenty cheap nodes produce evidence that gets trees planted.</t>
        </is>
      </c>
    </row>
    <row r="88" ht="54" customHeight="1">
      <c r="A88" s="29" t="n">
        <v>84</v>
      </c>
      <c r="B88" s="100" t="inlineStr">
        <is>
          <t>Building Occupancy Mesh</t>
        </is>
      </c>
      <c r="C88" s="12" t="inlineStr">
        <is>
          <t>One presence node per room, meshed over ESP-NOW, produces a live floor plan of where people actually are — and a month of it reveals which rooms are wasted.</t>
        </is>
      </c>
      <c r="D88" s="12" t="inlineStr">
        <is>
          <t>SCD41 true CO2 · LD2410 mmWave presence</t>
        </is>
      </c>
      <c r="E88" s="12" t="inlineStr">
        <is>
          <t>ESP32-C3 x10, USB power, gateway, dashboard</t>
        </is>
      </c>
      <c r="F88" s="29" t="inlineStr">
        <is>
          <t>$200</t>
        </is>
      </c>
      <c r="G88" s="29" t="inlineStr">
        <is>
          <t>$30</t>
        </is>
      </c>
      <c r="H88" s="29" t="n">
        <v>3</v>
      </c>
      <c r="I88" s="12" t="inlineStr">
        <is>
          <t>Fleet, Home, Energy</t>
        </is>
      </c>
      <c r="J88" s="12" t="inlineStr">
        <is>
          <t>Space is the second-largest cost for most organisations and is allocated on assumption. Camera-free occupancy data survives the privacy conversation.</t>
        </is>
      </c>
    </row>
    <row r="89" ht="54" customHeight="1">
      <c r="A89" s="29" t="n">
        <v>85</v>
      </c>
      <c r="B89" s="100" t="inlineStr">
        <is>
          <t>Neighbourhood Quake Net</t>
        </is>
      </c>
      <c r="C89" s="12" t="inlineStr">
        <is>
          <t>Ten seismic nodes across a few streets, time-synced by GPS, that detect P-waves and share a warning seconds before the shaking — and log the local ground response.</t>
        </is>
      </c>
      <c r="D89" s="12" t="inlineStr">
        <is>
          <t>ADXL355 low-noise accel · GPS PPS time source</t>
        </is>
      </c>
      <c r="E89" s="12" t="inlineStr">
        <is>
          <t>ESP32 x10, concrete mounts, ESP-NOW or MQTT</t>
        </is>
      </c>
      <c r="F89" s="29" t="inlineStr">
        <is>
          <t>$450</t>
        </is>
      </c>
      <c r="G89" s="29" t="inlineStr">
        <is>
          <t>$48</t>
        </is>
      </c>
      <c r="H89" s="29" t="n">
        <v>5</v>
      </c>
      <c r="I89" s="12" t="inlineStr">
        <is>
          <t>Fleet, Wild, Safety</t>
        </is>
      </c>
      <c r="J89" s="12" t="inlineStr">
        <is>
          <t>P-waves arrive before S-waves, so even a few seconds of local warning is real. Community seismic networks are a proven model with an active open-data community.</t>
        </is>
      </c>
    </row>
    <row r="90" ht="54" customHeight="1">
      <c r="A90" s="29" t="n">
        <v>86</v>
      </c>
      <c r="B90" s="100" t="inlineStr">
        <is>
          <t>Tool Crib Conscience</t>
        </is>
      </c>
      <c r="C90" s="12" t="inlineStr">
        <is>
          <t>Every tool carries a tag; the rack knows what left, when and with whom — and the dangerous machines only start for someone trained on them.</t>
        </is>
      </c>
      <c r="D90" s="12" t="inlineStr">
        <is>
          <t>Fingerprint reader R503 · RC522 RFID reader · Inductive proximity switch M12/M18</t>
        </is>
      </c>
      <c r="E90" s="12" t="inlineStr">
        <is>
          <t>ESP32, contactor, RGB indicators, roster database</t>
        </is>
      </c>
      <c r="F90" s="29" t="inlineStr">
        <is>
          <t>$110</t>
        </is>
      </c>
      <c r="G90" s="29" t="inlineStr">
        <is>
          <t>$24</t>
        </is>
      </c>
      <c r="H90" s="29" t="n">
        <v>3</v>
      </c>
      <c r="I90" s="12" t="inlineStr">
        <is>
          <t>Access, Industry, Safety</t>
        </is>
      </c>
      <c r="J90" s="12" t="inlineStr">
        <is>
          <t>Combines accountability and safety interlocking in one system, which is exactly what insurers and workshop managers ask for and rarely find affordably.</t>
        </is>
      </c>
    </row>
    <row r="91" ht="54" customHeight="1">
      <c r="A91" s="29" t="n">
        <v>87</v>
      </c>
      <c r="B91" s="100" t="inlineStr">
        <is>
          <t>Tangible Playlist Shelf</t>
        </is>
      </c>
      <c r="C91" s="12" t="inlineStr">
        <is>
          <t>A shelf of wooden tokens, each an album or a story. Place one on the pad and it plays; take it off and it stops. No screen, no account, no search.</t>
        </is>
      </c>
      <c r="D91" s="12" t="inlineStr">
        <is>
          <t>PN532 NFC controller · VCNL4040 proximity + lux</t>
        </is>
      </c>
      <c r="E91" s="12" t="inlineStr">
        <is>
          <t>ESP32, I2S DAC and amp, speaker, wooden tokens, NFC stickers</t>
        </is>
      </c>
      <c r="F91" s="29" t="inlineStr">
        <is>
          <t>$70</t>
        </is>
      </c>
      <c r="G91" s="29" t="inlineStr">
        <is>
          <t>$12</t>
        </is>
      </c>
      <c r="H91" s="29" t="n">
        <v>2</v>
      </c>
      <c r="I91" s="12" t="inlineStr">
        <is>
          <t>Access, Play, Home</t>
        </is>
      </c>
      <c r="J91" s="12" t="inlineStr">
        <is>
          <t>Tangible interfaces beat touchscreens decisively for both children and people with dementia. This is the single most-loved build in the maker canon for good reason.</t>
        </is>
      </c>
    </row>
    <row r="92" ht="54" customHeight="1">
      <c r="A92" s="29" t="n">
        <v>88</v>
      </c>
      <c r="B92" s="100" t="inlineStr">
        <is>
          <t>Tap-to-Provision Fleet</t>
        </is>
      </c>
      <c r="C92" s="12" t="inlineStr">
        <is>
          <t>Onboarding infrastructure for everything else here: tap your phone to a new node and it receives its Wi-Fi credentials, its name and its room over NFC.</t>
        </is>
      </c>
      <c r="D92" s="12" t="inlineStr">
        <is>
          <t>PN532 NFC controller</t>
        </is>
      </c>
      <c r="E92" s="12" t="inlineStr">
        <is>
          <t>ESP32, NFC antenna, provisioning app or NDEF tags</t>
        </is>
      </c>
      <c r="F92" s="29" t="inlineStr">
        <is>
          <t>$25</t>
        </is>
      </c>
      <c r="G92" s="29" t="inlineStr">
        <is>
          <t>$6</t>
        </is>
      </c>
      <c r="H92" s="29" t="n">
        <v>3</v>
      </c>
      <c r="I92" s="12" t="inlineStr">
        <is>
          <t>Access, Fleet, Home</t>
        </is>
      </c>
      <c r="J92" s="12" t="inlineStr">
        <is>
          <t>Provisioning is where fleet projects die. Solving it once, properly, is what separates a demo from a deployment — and it is the UX commercial products use.</t>
        </is>
      </c>
    </row>
  </sheetData>
  <mergeCells count="2">
    <mergeCell ref="A3:J3"/>
    <mergeCell ref="A2:J2"/>
  </mergeCells>
  <conditionalFormatting sqref="H5:H92">
    <cfRule type="iconSet" priority="1">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4A5878"/>
    <outlinePr summaryBelow="1" summaryRight="1"/>
    <pageSetUpPr/>
  </sheetPr>
  <dimension ref="A1:V38"/>
  <sheetViews>
    <sheetView showGridLines="0" zoomScale="100" workbookViewId="0">
      <selection activeCell="A1" sqref="A1"/>
    </sheetView>
  </sheetViews>
  <sheetFormatPr baseColWidth="8" defaultRowHeight="15"/>
  <cols>
    <col width="12" customWidth="1" min="1" max="1"/>
    <col width="9" customWidth="1" min="2" max="2"/>
    <col width="11" customWidth="1" min="3" max="3"/>
    <col width="62" customWidth="1" min="4" max="4"/>
    <col width="34" customWidth="1" min="5" max="5"/>
    <col width="52"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1" t="inlineStr">
        <is>
          <t>Wiring</t>
        </is>
      </c>
      <c r="R1" s="2" t="inlineStr">
        <is>
          <t>Power</t>
        </is>
      </c>
      <c r="S1" s="2" t="inlineStr">
        <is>
          <t>Archetypes</t>
        </is>
      </c>
      <c r="T1" s="2" t="inlineStr">
        <is>
          <t>Buying</t>
        </is>
      </c>
      <c r="U1" s="2" t="inlineStr">
        <is>
          <t>ESP32</t>
        </is>
      </c>
      <c r="V1" s="2" t="inlineStr">
        <is>
          <t>Provenance</t>
        </is>
      </c>
    </row>
    <row r="2" ht="32" customHeight="1">
      <c r="A2" s="3" t="inlineStr">
        <is>
          <t>🔌 I²C ADDRESS MAP &amp; WIRING REALITY</t>
        </is>
      </c>
      <c r="B2" s="4" t="n"/>
      <c r="C2" s="4" t="n"/>
      <c r="D2" s="4" t="n"/>
      <c r="E2" s="4" t="n"/>
      <c r="F2" s="4" t="n"/>
    </row>
    <row r="3" ht="26" customHeight="1">
      <c r="A3" s="5" t="inlineStr">
        <is>
          <t>The sheet that stops projects dying. Two parts at the same address cannot share a bus without a multiplexer or an address jumper — and some families have no jumper at all.</t>
        </is>
      </c>
    </row>
    <row r="4" ht="24" customHeight="1">
      <c r="A4" s="6" t="inlineStr">
        <is>
          <t>ADDRESS MAP — collisions highlighted</t>
        </is>
      </c>
    </row>
    <row r="5" ht="22" customHeight="1">
      <c r="A5" s="13" t="inlineStr">
        <is>
          <t>Anything with two or more parts is a potential conflict. The fix is a TCA9548A multiplexer, an address jumper, or XSHUT sequencing.</t>
        </is>
      </c>
    </row>
    <row r="6">
      <c r="A6" s="24" t="inlineStr">
        <is>
          <t>Address</t>
        </is>
      </c>
      <c r="B6" s="24" t="inlineStr">
        <is>
          <t># parts</t>
        </is>
      </c>
      <c r="C6" s="24" t="inlineStr">
        <is>
          <t>Conflict?</t>
        </is>
      </c>
      <c r="D6" s="24" t="inlineStr">
        <is>
          <t>Parts sharing it</t>
        </is>
      </c>
      <c r="E6" s="24" t="inlineStr">
        <is>
          <t>Can the address be changed?</t>
        </is>
      </c>
      <c r="F6" s="24" t="inlineStr">
        <is>
          <t>Fix</t>
        </is>
      </c>
    </row>
    <row r="7" ht="30" customHeight="1">
      <c r="A7" s="101" t="inlineStr">
        <is>
          <t>0x18</t>
        </is>
      </c>
      <c r="B7" s="29" t="n">
        <v>1</v>
      </c>
      <c r="C7" s="29" t="inlineStr">
        <is>
          <t>—</t>
        </is>
      </c>
      <c r="D7" s="12" t="inlineStr">
        <is>
          <t>MCP9808 precision temp</t>
        </is>
      </c>
      <c r="E7" s="12" t="inlineStr">
        <is>
          <t>n/a</t>
        </is>
      </c>
      <c r="F7" s="12" t="inlineStr"/>
    </row>
    <row r="8" ht="30" customHeight="1">
      <c r="A8" s="101" t="inlineStr">
        <is>
          <t>0x1D</t>
        </is>
      </c>
      <c r="B8" s="29" t="n">
        <v>1</v>
      </c>
      <c r="C8" s="29" t="inlineStr">
        <is>
          <t>—</t>
        </is>
      </c>
      <c r="D8" s="12" t="inlineStr">
        <is>
          <t>ADXL345 accelerometer</t>
        </is>
      </c>
      <c r="E8" s="12" t="inlineStr">
        <is>
          <t>n/a</t>
        </is>
      </c>
      <c r="F8" s="12" t="inlineStr"/>
    </row>
    <row r="9" ht="30" customHeight="1">
      <c r="A9" s="101" t="inlineStr">
        <is>
          <t>0x1F</t>
        </is>
      </c>
      <c r="B9" s="29" t="n">
        <v>1</v>
      </c>
      <c r="C9" s="29" t="inlineStr">
        <is>
          <t>—</t>
        </is>
      </c>
      <c r="D9" s="12" t="inlineStr">
        <is>
          <t>MCP9808 precision temp</t>
        </is>
      </c>
      <c r="E9" s="12" t="inlineStr">
        <is>
          <t>n/a</t>
        </is>
      </c>
      <c r="F9" s="12" t="inlineStr"/>
    </row>
    <row r="10" ht="30" customHeight="1">
      <c r="A10" s="101" t="inlineStr">
        <is>
          <t>0x23</t>
        </is>
      </c>
      <c r="B10" s="29" t="n">
        <v>1</v>
      </c>
      <c r="C10" s="29" t="inlineStr">
        <is>
          <t>—</t>
        </is>
      </c>
      <c r="D10" s="12" t="inlineStr">
        <is>
          <t>BH1750 lux sensor</t>
        </is>
      </c>
      <c r="E10" s="12" t="inlineStr">
        <is>
          <t>n/a</t>
        </is>
      </c>
      <c r="F10" s="12" t="inlineStr"/>
    </row>
    <row r="11" ht="30" customHeight="1">
      <c r="A11" s="101" t="inlineStr">
        <is>
          <t>0x25</t>
        </is>
      </c>
      <c r="B11" s="29" t="n">
        <v>1</v>
      </c>
      <c r="C11" s="29" t="inlineStr">
        <is>
          <t>—</t>
        </is>
      </c>
      <c r="D11" s="12" t="inlineStr">
        <is>
          <t>SDP810 differential pressure</t>
        </is>
      </c>
      <c r="E11" s="12" t="inlineStr">
        <is>
          <t>n/a</t>
        </is>
      </c>
      <c r="F11" s="12" t="inlineStr"/>
    </row>
    <row r="12" ht="30" customHeight="1">
      <c r="A12" s="101" t="inlineStr">
        <is>
          <t>0x26</t>
        </is>
      </c>
      <c r="B12" s="29" t="n">
        <v>1</v>
      </c>
      <c r="C12" s="29" t="inlineStr">
        <is>
          <t>—</t>
        </is>
      </c>
      <c r="D12" s="12" t="inlineStr">
        <is>
          <t>SDP810 differential pressure</t>
        </is>
      </c>
      <c r="E12" s="12" t="inlineStr">
        <is>
          <t>n/a</t>
        </is>
      </c>
      <c r="F12" s="12" t="inlineStr"/>
    </row>
    <row r="13" ht="30" customHeight="1">
      <c r="A13" s="101" t="inlineStr">
        <is>
          <t>0x29</t>
        </is>
      </c>
      <c r="B13" s="29" t="n">
        <v>1</v>
      </c>
      <c r="C13" s="29" t="inlineStr">
        <is>
          <t>—</t>
        </is>
      </c>
      <c r="D13" s="12" t="inlineStr">
        <is>
          <t>VL53L0X ToF laser</t>
        </is>
      </c>
      <c r="E13" s="12" t="inlineStr">
        <is>
          <t>n/a</t>
        </is>
      </c>
      <c r="F13" s="12" t="inlineStr"/>
    </row>
    <row r="14" ht="30" customHeight="1">
      <c r="A14" s="101" t="inlineStr">
        <is>
          <t>0x44</t>
        </is>
      </c>
      <c r="B14" s="29" t="n">
        <v>1</v>
      </c>
      <c r="C14" s="29" t="inlineStr">
        <is>
          <t>—</t>
        </is>
      </c>
      <c r="D14" s="12" t="inlineStr">
        <is>
          <t>SHT41 humidity + temp</t>
        </is>
      </c>
      <c r="E14" s="12" t="inlineStr">
        <is>
          <t>n/a</t>
        </is>
      </c>
      <c r="F14" s="12" t="inlineStr"/>
    </row>
    <row r="15" ht="30" customHeight="1">
      <c r="A15" s="101" t="inlineStr">
        <is>
          <t>0x45</t>
        </is>
      </c>
      <c r="B15" s="29" t="n">
        <v>1</v>
      </c>
      <c r="C15" s="29" t="inlineStr">
        <is>
          <t>—</t>
        </is>
      </c>
      <c r="D15" s="12" t="inlineStr">
        <is>
          <t>SHT41 humidity + temp</t>
        </is>
      </c>
      <c r="E15" s="12" t="inlineStr">
        <is>
          <t>n/a</t>
        </is>
      </c>
      <c r="F15" s="12" t="inlineStr"/>
    </row>
    <row r="16" ht="30" customHeight="1">
      <c r="A16" s="101" t="inlineStr">
        <is>
          <t>0x48</t>
        </is>
      </c>
      <c r="B16" s="29" t="n">
        <v>1</v>
      </c>
      <c r="C16" s="29" t="inlineStr">
        <is>
          <t>—</t>
        </is>
      </c>
      <c r="D16" s="12" t="inlineStr">
        <is>
          <t>TMP117 ultra-precise temp</t>
        </is>
      </c>
      <c r="E16" s="12" t="inlineStr">
        <is>
          <t>n/a</t>
        </is>
      </c>
      <c r="F16" s="12" t="inlineStr"/>
    </row>
    <row r="17" ht="30" customHeight="1">
      <c r="A17" s="101" t="inlineStr">
        <is>
          <t>0x4B</t>
        </is>
      </c>
      <c r="B17" s="29" t="n">
        <v>1</v>
      </c>
      <c r="C17" s="29" t="inlineStr">
        <is>
          <t>—</t>
        </is>
      </c>
      <c r="D17" s="12" t="inlineStr">
        <is>
          <t>TMP117 ultra-precise temp</t>
        </is>
      </c>
      <c r="E17" s="12" t="inlineStr">
        <is>
          <t>n/a</t>
        </is>
      </c>
      <c r="F17" s="12" t="inlineStr"/>
    </row>
    <row r="18" ht="30" customHeight="1">
      <c r="A18" s="101" t="inlineStr">
        <is>
          <t>0x53</t>
        </is>
      </c>
      <c r="B18" s="29" t="n">
        <v>1</v>
      </c>
      <c r="C18" s="29" t="inlineStr">
        <is>
          <t>—</t>
        </is>
      </c>
      <c r="D18" s="12" t="inlineStr">
        <is>
          <t>ADXL345 accelerometer</t>
        </is>
      </c>
      <c r="E18" s="12" t="inlineStr">
        <is>
          <t>n/a</t>
        </is>
      </c>
      <c r="F18" s="12" t="inlineStr"/>
    </row>
    <row r="19" ht="30" customHeight="1">
      <c r="A19" s="101" t="inlineStr">
        <is>
          <t>0x57</t>
        </is>
      </c>
      <c r="B19" s="29" t="n">
        <v>1</v>
      </c>
      <c r="C19" s="29" t="inlineStr">
        <is>
          <t>—</t>
        </is>
      </c>
      <c r="D19" s="12" t="inlineStr">
        <is>
          <t>MAX30102 pulse oximeter</t>
        </is>
      </c>
      <c r="E19" s="12" t="inlineStr">
        <is>
          <t>n/a</t>
        </is>
      </c>
      <c r="F19" s="12" t="inlineStr"/>
    </row>
    <row r="20" ht="30" customHeight="1">
      <c r="A20" s="101" t="inlineStr">
        <is>
          <t>0x5A</t>
        </is>
      </c>
      <c r="B20" s="29" t="n">
        <v>2</v>
      </c>
      <c r="C20" s="102" t="inlineStr">
        <is>
          <t>⚠ YES</t>
        </is>
      </c>
      <c r="D20" s="12" t="inlineStr">
        <is>
          <t>MLX90614 IR thermometer · MPR121 12-pad cap touch</t>
        </is>
      </c>
      <c r="E20" s="12" t="inlineStr">
        <is>
          <t>0 of 2 have a selectable address</t>
        </is>
      </c>
      <c r="F20" s="12" t="inlineStr">
        <is>
          <t>Use a TCA9548A I²C multiplexer, or set jumpers so each part gets a distinct address. Parts with a FIXED address must go behind the mux.</t>
        </is>
      </c>
    </row>
    <row r="21" ht="30" customHeight="1">
      <c r="A21" s="101" t="inlineStr">
        <is>
          <t>0x5C</t>
        </is>
      </c>
      <c r="B21" s="29" t="n">
        <v>1</v>
      </c>
      <c r="C21" s="29" t="inlineStr">
        <is>
          <t>—</t>
        </is>
      </c>
      <c r="D21" s="12" t="inlineStr">
        <is>
          <t>BH1750 lux sensor</t>
        </is>
      </c>
      <c r="E21" s="12" t="inlineStr">
        <is>
          <t>n/a</t>
        </is>
      </c>
      <c r="F21" s="12" t="inlineStr"/>
    </row>
    <row r="22" ht="30" customHeight="1">
      <c r="A22" s="101" t="inlineStr">
        <is>
          <t>0x5D</t>
        </is>
      </c>
      <c r="B22" s="29" t="n">
        <v>1</v>
      </c>
      <c r="C22" s="29" t="inlineStr">
        <is>
          <t>—</t>
        </is>
      </c>
      <c r="D22" s="12" t="inlineStr">
        <is>
          <t>MPR121 12-pad cap touch</t>
        </is>
      </c>
      <c r="E22" s="12" t="inlineStr">
        <is>
          <t>n/a</t>
        </is>
      </c>
      <c r="F22" s="12" t="inlineStr"/>
    </row>
    <row r="23" ht="30" customHeight="1">
      <c r="A23" s="101" t="inlineStr">
        <is>
          <t>0x62</t>
        </is>
      </c>
      <c r="B23" s="29" t="n">
        <v>1</v>
      </c>
      <c r="C23" s="29" t="inlineStr">
        <is>
          <t>—</t>
        </is>
      </c>
      <c r="D23" s="12" t="inlineStr">
        <is>
          <t>SCD41 true CO2</t>
        </is>
      </c>
      <c r="E23" s="12" t="inlineStr">
        <is>
          <t>n/a</t>
        </is>
      </c>
      <c r="F23" s="12" t="inlineStr"/>
    </row>
    <row r="24" ht="30" customHeight="1">
      <c r="A24" s="101" t="inlineStr">
        <is>
          <t>0x68</t>
        </is>
      </c>
      <c r="B24" s="29" t="n">
        <v>2</v>
      </c>
      <c r="C24" s="102" t="inlineStr">
        <is>
          <t>⚠ YES</t>
        </is>
      </c>
      <c r="D24" s="12" t="inlineStr">
        <is>
          <t>Grid-EYE AMG8833 thermal array · MPU-6050 6-axis IMU</t>
        </is>
      </c>
      <c r="E24" s="12" t="inlineStr">
        <is>
          <t>0 of 2 have a selectable address</t>
        </is>
      </c>
      <c r="F24" s="12" t="inlineStr">
        <is>
          <t>Use a TCA9548A I²C multiplexer, or set jumpers so each part gets a distinct address. Parts with a FIXED address must go behind the mux.</t>
        </is>
      </c>
    </row>
    <row r="25" ht="30" customHeight="1">
      <c r="A25" s="101" t="inlineStr">
        <is>
          <t>0x69</t>
        </is>
      </c>
      <c r="B25" s="29" t="n">
        <v>2</v>
      </c>
      <c r="C25" s="102" t="inlineStr">
        <is>
          <t>⚠ YES</t>
        </is>
      </c>
      <c r="D25" s="12" t="inlineStr">
        <is>
          <t>Grid-EYE AMG8833 thermal array · MPU-6050 6-axis IMU</t>
        </is>
      </c>
      <c r="E25" s="12" t="inlineStr">
        <is>
          <t>0 of 2 have a selectable address</t>
        </is>
      </c>
      <c r="F25" s="12" t="inlineStr">
        <is>
          <t>Use a TCA9548A I²C multiplexer, or set jumpers so each part gets a distinct address. Parts with a FIXED address must go behind the mux.</t>
        </is>
      </c>
    </row>
    <row r="26" ht="30" customHeight="1">
      <c r="A26" s="101" t="inlineStr">
        <is>
          <t>0x76</t>
        </is>
      </c>
      <c r="B26" s="29" t="n">
        <v>3</v>
      </c>
      <c r="C26" s="102" t="inlineStr">
        <is>
          <t>⚠ YES</t>
        </is>
      </c>
      <c r="D26" s="12" t="inlineStr">
        <is>
          <t>BME280 climate combo · BMP390 precision barometer · BME688 gas + climate AI</t>
        </is>
      </c>
      <c r="E26" s="12" t="inlineStr">
        <is>
          <t>0 of 3 have a selectable address</t>
        </is>
      </c>
      <c r="F26" s="12" t="inlineStr">
        <is>
          <t>Use a TCA9548A I²C multiplexer, or set jumpers so each part gets a distinct address. Parts with a FIXED address must go behind the mux.</t>
        </is>
      </c>
    </row>
    <row r="27" ht="30" customHeight="1">
      <c r="A27" s="101" t="inlineStr">
        <is>
          <t>0x77</t>
        </is>
      </c>
      <c r="B27" s="29" t="n">
        <v>3</v>
      </c>
      <c r="C27" s="102" t="inlineStr">
        <is>
          <t>⚠ YES</t>
        </is>
      </c>
      <c r="D27" s="12" t="inlineStr">
        <is>
          <t>BME280 climate combo · BMP390 precision barometer · BME688 gas + climate AI</t>
        </is>
      </c>
      <c r="E27" s="12" t="inlineStr">
        <is>
          <t>0 of 3 have a selectable address</t>
        </is>
      </c>
      <c r="F27" s="12" t="inlineStr">
        <is>
          <t>Use a TCA9548A I²C multiplexer, or set jumpers so each part gets a distinct address. Parts with a FIXED address must go behind the mux.</t>
        </is>
      </c>
    </row>
    <row r="29" ht="24" customHeight="1">
      <c r="A29" s="6" t="inlineStr">
        <is>
          <t>BUS AND PIN REALITY</t>
        </is>
      </c>
    </row>
    <row r="30" ht="106" customHeight="1">
      <c r="A30" s="7" t="inlineStr">
        <is>
          <t>The ToF trap</t>
        </is>
      </c>
      <c r="B30" s="12" t="inlineStr">
        <is>
          <t>The entire ST VL53 family ships at a FIXED 0x29. Two on one bus is impossible without either a multiplexer, or driving each sensor's XSHUT pin low and assigning addresses one at a time at boot. Any project using several ToF sensors must budget for this — it is the single most common reason a multi-ToF build never works.</t>
        </is>
      </c>
    </row>
    <row r="31" ht="69" customHeight="1">
      <c r="A31" s="7" t="inlineStr">
        <is>
          <t>BME280 / BMP280 clones</t>
        </is>
      </c>
      <c r="B31" s="12" t="inlineStr">
        <is>
          <t>Address is 0x76 or 0x77 depending on the board, and many boards sold as BME280 carry a BMP280 with no humidity sensor. Scan the bus first, then read the chip ID register before trusting the label.</t>
        </is>
      </c>
    </row>
    <row r="32" ht="55" customHeight="1">
      <c r="A32" s="7" t="inlineStr">
        <is>
          <t>0x68 is crowded</t>
        </is>
      </c>
      <c r="B32" s="12" t="inlineStr">
        <is>
          <t>MPU-6050, MPU-9250, ICM-20948 and the DS3231 RTC all default here. Most IMUs have an AD0 pin that moves them to 0x69; the RTC usually does not move.</t>
        </is>
      </c>
    </row>
    <row r="33" ht="69" customHeight="1">
      <c r="A33" s="7" t="inlineStr">
        <is>
          <t>Pull-ups add up</t>
        </is>
      </c>
      <c r="B33" s="12" t="inlineStr">
        <is>
          <t>Every breakout carries its own 4.7k pull-ups. Six boards in parallel gives ~780Ω, which is too strong — the bus stops working reliably. Remove pull-ups on all but one or two boards on a long chain.</t>
        </is>
      </c>
    </row>
    <row r="34" ht="56" customHeight="1">
      <c r="A34" s="7" t="inlineStr">
        <is>
          <t>Bus length</t>
        </is>
      </c>
      <c r="B34" s="12" t="inlineStr">
        <is>
          <t>I²C is designed for a few tens of centimetres. Past ~1m, drop to 100kHz, use twisted pair with ground, or switch to a differential extender (P82B715).</t>
        </is>
      </c>
    </row>
    <row r="35" ht="74" customHeight="1">
      <c r="A35" s="7" t="inlineStr">
        <is>
          <t>Pin budget</t>
        </is>
      </c>
      <c r="B35" s="12" t="inlineStr">
        <is>
          <t>An ESP32 classic has ~34 GPIO but far fewer usable: strapping pins, flash pins, and input-only pins (34-39, no pull-ups) all bite. A DVP camera consumes ~16 pins on its own, which is why camera projects need an S3.</t>
        </is>
      </c>
    </row>
    <row r="36" ht="56" customHeight="1">
      <c r="A36" s="7" t="inlineStr">
        <is>
          <t>ADC2 vs Wi-Fi</t>
        </is>
      </c>
      <c r="B36" s="12" t="inlineStr">
        <is>
          <t>On the classic ESP32, ADC2 cannot be used while Wi-Fi is active. Put every analog sensor on ADC1, or accept that readings stop when the radio comes up.</t>
        </is>
      </c>
    </row>
    <row r="37" ht="66" customHeight="1">
      <c r="A37" s="7" t="inlineStr">
        <is>
          <t>The ESP32 ADC is poor</t>
        </is>
      </c>
      <c r="B37" s="12" t="inlineStr">
        <is>
          <t>Non-linear, noisy, and not to be trusted for anything precise. Any analog sensor you care about deserves an ADS1115 (16-bit, I²C, ~$3). This single part upgrades a third of this catalog.</t>
        </is>
      </c>
    </row>
    <row r="38" ht="63" customHeight="1">
      <c r="A38" s="7" t="inlineStr">
        <is>
          <t>5V outputs</t>
        </is>
      </c>
      <c r="B38" s="12" t="inlineStr">
        <is>
          <t>Plenty of sealed industrial and automotive parts output at their supply rail. Check the `logic_3v3` column before wiring anything with a supply above 3.6V directly to a GPIO.</t>
        </is>
      </c>
    </row>
  </sheetData>
  <mergeCells count="14">
    <mergeCell ref="B30:F30"/>
    <mergeCell ref="A2:F2"/>
    <mergeCell ref="B38:F38"/>
    <mergeCell ref="B32:F32"/>
    <mergeCell ref="B34:F34"/>
    <mergeCell ref="B33:F33"/>
    <mergeCell ref="A5:F5"/>
    <mergeCell ref="B37:F37"/>
    <mergeCell ref="B31:F31"/>
    <mergeCell ref="A4:F4"/>
    <mergeCell ref="B36:F36"/>
    <mergeCell ref="A3:F3"/>
    <mergeCell ref="A29:F29"/>
    <mergeCell ref="B35:F35"/>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6E7F5E"/>
    <outlinePr summaryBelow="1" summaryRight="1"/>
    <pageSetUpPr/>
  </sheetPr>
  <dimension ref="A1:V73"/>
  <sheetViews>
    <sheetView showGridLines="0" zoomScale="100" workbookViewId="0">
      <selection activeCell="A1" sqref="A1"/>
    </sheetView>
  </sheetViews>
  <sheetFormatPr baseColWidth="8" defaultRowHeight="15"/>
  <cols>
    <col width="26" customWidth="1" min="1" max="1"/>
    <col width="12" customWidth="1" min="2" max="2"/>
    <col width="14" customWidth="1" min="3" max="3"/>
    <col width="22" customWidth="1" min="4" max="4"/>
    <col width="22" customWidth="1" min="5" max="5"/>
    <col width="22" customWidth="1" min="6" max="6"/>
    <col width="22" customWidth="1" min="7" max="7"/>
    <col width="22" customWidth="1" min="8" max="8"/>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1" t="inlineStr">
        <is>
          <t>Power</t>
        </is>
      </c>
      <c r="S1" s="2" t="inlineStr">
        <is>
          <t>Archetypes</t>
        </is>
      </c>
      <c r="T1" s="2" t="inlineStr">
        <is>
          <t>Buying</t>
        </is>
      </c>
      <c r="U1" s="2" t="inlineStr">
        <is>
          <t>ESP32</t>
        </is>
      </c>
      <c r="V1" s="2" t="inlineStr">
        <is>
          <t>Provenance</t>
        </is>
      </c>
    </row>
    <row r="2" ht="32" customHeight="1">
      <c r="A2" s="3" t="inlineStr">
        <is>
          <t>🔋 POWER &amp; BATTERY CALCULATOR</t>
        </is>
      </c>
      <c r="B2" s="4" t="n"/>
      <c r="C2" s="4" t="n"/>
      <c r="D2" s="4" t="n"/>
      <c r="E2" s="4" t="n"/>
      <c r="F2" s="4" t="n"/>
      <c r="G2" s="4" t="n"/>
      <c r="H2" s="4" t="n"/>
    </row>
    <row r="3" ht="26" customHeight="1">
      <c r="A3" s="5" t="inlineStr">
        <is>
          <t>Change the yellow cells and everything recalculates. This is why power is stored as a number (µA) rather than as prose — v5 had 165 different free-text power strings and could not do this at all.</t>
        </is>
      </c>
    </row>
    <row r="4" ht="24" customHeight="1">
      <c r="A4" s="6" t="inlineStr">
        <is>
          <t>1 · YOUR NODE</t>
        </is>
      </c>
    </row>
    <row r="5" ht="22" customHeight="1">
      <c r="A5" s="13" t="inlineStr">
        <is>
          <t>Edit the yellow cells.</t>
        </is>
      </c>
    </row>
    <row r="6" ht="17" customHeight="1">
      <c r="A6" s="75" t="inlineStr">
        <is>
          <t>Battery capacity</t>
        </is>
      </c>
      <c r="B6" s="103" t="n">
        <v>2000</v>
      </c>
      <c r="C6" s="77" t="inlineStr">
        <is>
          <t>mAh</t>
        </is>
      </c>
      <c r="D6" s="77" t="inlineStr">
        <is>
          <t>18650 ≈ 2500-3400 · AA alkaline ≈ 2500 · LiPo 503035 ≈ 500 · CR2032 ≈ 220</t>
        </is>
      </c>
    </row>
    <row r="7" ht="17" customHeight="1">
      <c r="A7" s="75" t="inlineStr">
        <is>
          <t>Readings per hour</t>
        </is>
      </c>
      <c r="B7" s="103" t="n">
        <v>6</v>
      </c>
      <c r="C7" s="77" t="inlineStr">
        <is>
          <t>per hour</t>
        </is>
      </c>
      <c r="D7" s="77" t="inlineStr">
        <is>
          <t>How often the node wakes and measures</t>
        </is>
      </c>
    </row>
    <row r="8" ht="17" customHeight="1">
      <c r="A8" s="75" t="inlineStr">
        <is>
          <t>Awake time per reading</t>
        </is>
      </c>
      <c r="B8" s="103" t="n">
        <v>3</v>
      </c>
      <c r="C8" s="77" t="inlineStr">
        <is>
          <t>seconds</t>
        </is>
      </c>
      <c r="D8" s="77" t="inlineStr">
        <is>
          <t>Boot + sensor warm-up + measure + transmit</t>
        </is>
      </c>
    </row>
    <row r="9" ht="17" customHeight="1">
      <c r="A9" s="75" t="inlineStr">
        <is>
          <t>Awake current</t>
        </is>
      </c>
      <c r="B9" s="103" t="n">
        <v>90</v>
      </c>
      <c r="C9" s="77" t="inlineStr">
        <is>
          <t>mA</t>
        </is>
      </c>
      <c r="D9" s="77" t="inlineStr">
        <is>
          <t>ESP32 with Wi-Fi active ≈ 80-160 · ESP-NOW burst ≈ 90 · BLE ≈ 30</t>
        </is>
      </c>
    </row>
    <row r="10" ht="17" customHeight="1">
      <c r="A10" s="75" t="inlineStr">
        <is>
          <t>Deep-sleep current</t>
        </is>
      </c>
      <c r="B10" s="103" t="n">
        <v>20</v>
      </c>
      <c r="C10" s="77" t="inlineStr">
        <is>
          <t>µA</t>
        </is>
      </c>
      <c r="D10" s="77" t="inlineStr">
        <is>
          <t>ESP32 classic ≈ 10-20 · C3 ≈ 5 · plus your sensors' standby</t>
        </is>
      </c>
    </row>
    <row r="11" ht="17" customHeight="1">
      <c r="A11" s="75" t="inlineStr">
        <is>
          <t>Sensor standby current</t>
        </is>
      </c>
      <c r="B11" s="103" t="n">
        <v>5</v>
      </c>
      <c r="C11" s="77" t="inlineStr">
        <is>
          <t>µA</t>
        </is>
      </c>
      <c r="D11" s="77" t="inlineStr">
        <is>
          <t>Sum of the sleep draw of everything left powered</t>
        </is>
      </c>
    </row>
    <row r="12" ht="17" customHeight="1">
      <c r="A12" s="75" t="inlineStr">
        <is>
          <t>Battery derating</t>
        </is>
      </c>
      <c r="B12" s="103" t="n">
        <v>0.8</v>
      </c>
      <c r="C12" s="77" t="inlineStr">
        <is>
          <t>fraction</t>
        </is>
      </c>
      <c r="D12" s="77" t="inlineStr">
        <is>
          <t>Real capacity after cold, ageing and converter loss</t>
        </is>
      </c>
    </row>
    <row r="14" ht="24" customHeight="1">
      <c r="A14" s="6" t="inlineStr">
        <is>
          <t>2 · RESULT</t>
        </is>
      </c>
    </row>
    <row r="15" ht="17" customHeight="1">
      <c r="A15" s="75" t="inlineStr">
        <is>
          <t>Awake charge per reading</t>
        </is>
      </c>
      <c r="B15" s="104">
        <f>B9*(B8/3600)</f>
        <v/>
      </c>
      <c r="C15" s="77" t="inlineStr">
        <is>
          <t>mAh</t>
        </is>
      </c>
      <c r="D15" s="77" t="inlineStr">
        <is>
          <t>current × time, converted to hours</t>
        </is>
      </c>
    </row>
    <row r="16" ht="17" customHeight="1">
      <c r="A16" s="75" t="inlineStr">
        <is>
          <t>Awake charge per day</t>
        </is>
      </c>
      <c r="B16" s="104">
        <f>B15*B7*24</f>
        <v/>
      </c>
      <c r="C16" s="77" t="inlineStr">
        <is>
          <t>mAh/day</t>
        </is>
      </c>
      <c r="D16" s="77" t="inlineStr"/>
    </row>
    <row r="17" ht="17" customHeight="1">
      <c r="A17" s="75" t="inlineStr">
        <is>
          <t>Sleep charge per day</t>
        </is>
      </c>
      <c r="B17" s="104">
        <f>((B10+B11)/1000)*24</f>
        <v/>
      </c>
      <c r="C17" s="77" t="inlineStr">
        <is>
          <t>mAh/day</t>
        </is>
      </c>
      <c r="D17" s="77" t="inlineStr">
        <is>
          <t>standby current runs the whole 24 hours</t>
        </is>
      </c>
    </row>
    <row r="18" ht="17" customHeight="1">
      <c r="A18" s="75" t="inlineStr">
        <is>
          <t>Total per day</t>
        </is>
      </c>
      <c r="B18" s="104">
        <f>B16+B17</f>
        <v/>
      </c>
      <c r="C18" s="77" t="inlineStr">
        <is>
          <t>mAh/day</t>
        </is>
      </c>
      <c r="D18" s="77" t="inlineStr"/>
    </row>
    <row r="19" ht="17" customHeight="1">
      <c r="A19" s="75" t="inlineStr">
        <is>
          <t>Estimated battery life</t>
        </is>
      </c>
      <c r="B19" s="104">
        <f>IF(B18&lt;=0,"—",(B6*B12)/B18)</f>
        <v/>
      </c>
      <c r="C19" s="77" t="inlineStr">
        <is>
          <t>days</t>
        </is>
      </c>
      <c r="D19" s="77" t="inlineStr">
        <is>
          <t>capacity × derating ÷ daily draw</t>
        </is>
      </c>
    </row>
    <row r="20" ht="17" customHeight="1">
      <c r="A20" s="75" t="inlineStr">
        <is>
          <t>…in months</t>
        </is>
      </c>
      <c r="B20" s="104">
        <f>IF(B18&lt;=0,"—",B19/30.4)</f>
        <v/>
      </c>
      <c r="C20" s="77" t="inlineStr">
        <is>
          <t>months</t>
        </is>
      </c>
      <c r="D20" s="77" t="inlineStr"/>
    </row>
    <row r="21" ht="17" customHeight="1">
      <c r="A21" s="75" t="inlineStr">
        <is>
          <t>Duty cycle</t>
        </is>
      </c>
      <c r="B21" s="104">
        <f>(B8*B7)/3600</f>
        <v/>
      </c>
      <c r="C21" s="77" t="inlineStr">
        <is>
          <t>fraction of time awake</t>
        </is>
      </c>
      <c r="D21" s="77" t="inlineStr">
        <is>
          <t>Below ~0.1% is where multi-year nodes live</t>
        </is>
      </c>
    </row>
    <row r="23" ht="24" customHeight="1">
      <c r="A23" s="6" t="inlineStr">
        <is>
          <t>3 · WHAT DOMINATES YOUR BUDGET</t>
        </is>
      </c>
    </row>
    <row r="24" ht="22" customHeight="1">
      <c r="A24" s="13" t="inlineStr">
        <is>
          <t>For most battery nodes the sensor is irrelevant and the radio is everything.</t>
        </is>
      </c>
    </row>
    <row r="25" ht="81" customHeight="1">
      <c r="A25" s="7" t="inlineStr">
        <is>
          <t>The radio is the budget</t>
        </is>
      </c>
      <c r="B25" s="12" t="inlineStr">
        <is>
          <t>An ESP32 transmitting over Wi-Fi draws ~100-160mA. Three seconds of that is more charge than a µA-class sensor uses in a week. Optimise the radio first: ESP-NOW instead of Wi-Fi association saves seconds of connection time.</t>
        </is>
      </c>
    </row>
    <row r="26" ht="72" customHeight="1">
      <c r="A26" s="7" t="inlineStr">
        <is>
          <t>Connection time, not transmit time</t>
        </is>
      </c>
      <c r="B26" s="12" t="inlineStr">
        <is>
          <t>Associating with an AP and getting DHCP can take 2-5 seconds. ESP-NOW sends in milliseconds with no handshake. For a sensor node that reports a number, this one change often triples battery life.</t>
        </is>
      </c>
    </row>
    <row r="27" ht="72" customHeight="1">
      <c r="A27" s="7" t="inlineStr">
        <is>
          <t>Wake on interrupt, not on a timer</t>
        </is>
      </c>
      <c r="B27" s="12" t="inlineStr">
        <is>
          <t>Many sensors here have an interrupt output — threshold alerts, motion wake, tap detection. Letting the SENSOR decide when the ESP32 should wake turns a duty-cycled node into an event-driven one.</t>
        </is>
      </c>
    </row>
    <row r="28" ht="72" customHeight="1">
      <c r="A28" s="7" t="inlineStr">
        <is>
          <t>Sleep current is a real number</t>
        </is>
      </c>
      <c r="B28" s="12" t="inlineStr">
        <is>
          <t>A 20µA deep-sleep node uses ~0.5mAh/day doing nothing. Leaving one 5mA sensor powered during sleep adds 120mAh/day — 240× more. Switch sensor power with a MOSFET or a GPIO where current allows.</t>
        </is>
      </c>
    </row>
    <row r="29" ht="69" customHeight="1">
      <c r="A29" s="7" t="inlineStr">
        <is>
          <t>Cold kills capacity</t>
        </is>
      </c>
      <c r="B29" s="12" t="inlineStr">
        <is>
          <t>An 18650 at -10°C may deliver half its rated capacity, and LiPo charging below 0°C damages the cell permanently. Outdoor winter nodes need derating and a charge-inhibit below freezing.</t>
        </is>
      </c>
    </row>
    <row r="31" ht="24" customHeight="1">
      <c r="A31" s="6" t="inlineStr">
        <is>
          <t>4 · THE µA-CLASS PARTS IN THIS CATALOG</t>
        </is>
      </c>
    </row>
    <row r="32" ht="22" customHeight="1">
      <c r="A32" s="13" t="inlineStr">
        <is>
          <t>Sorted by active draw — the parts that make multi-year nodes possible.</t>
        </is>
      </c>
    </row>
    <row r="33">
      <c r="A33" s="24" t="inlineStr">
        <is>
          <t>Part</t>
        </is>
      </c>
      <c r="B33" s="24" t="inlineStr">
        <is>
          <t>Active µA</t>
        </is>
      </c>
      <c r="C33" s="24" t="inlineStr">
        <is>
          <t>Sleep µA</t>
        </is>
      </c>
      <c r="D33" s="24" t="inlineStr">
        <is>
          <t>Class</t>
        </is>
      </c>
      <c r="E33" s="24" t="inlineStr">
        <is>
          <t>Category</t>
        </is>
      </c>
      <c r="F33" s="24" t="inlineStr">
        <is>
          <t>$</t>
        </is>
      </c>
      <c r="G33" s="24" t="inlineStr">
        <is>
          <t>col</t>
        </is>
      </c>
      <c r="H33" s="24" t="inlineStr">
        <is>
          <t>col (1)</t>
        </is>
      </c>
    </row>
    <row r="34" ht="15" customHeight="1">
      <c r="A34" s="12" t="inlineStr">
        <is>
          <t>TSL2591 high dynamic lux</t>
        </is>
      </c>
      <c r="B34" s="29" t="n">
        <v>0</v>
      </c>
      <c r="C34" s="29" t="n"/>
      <c r="D34" s="12" t="inlineStr">
        <is>
          <t>Zero</t>
        </is>
      </c>
      <c r="E34" s="12" t="inlineStr">
        <is>
          <t>Light &amp; UV</t>
        </is>
      </c>
      <c r="F34" s="29" t="n">
        <v>7</v>
      </c>
    </row>
    <row r="35" ht="15" customHeight="1">
      <c r="A35" s="12" t="inlineStr">
        <is>
          <t>LSM6DSOX ML-core IMU</t>
        </is>
      </c>
      <c r="B35" s="29" t="n">
        <v>0</v>
      </c>
      <c r="C35" s="29" t="n"/>
      <c r="D35" s="12" t="inlineStr">
        <is>
          <t>Zero</t>
        </is>
      </c>
      <c r="E35" s="12" t="inlineStr">
        <is>
          <t>Motion &amp; Vibration</t>
        </is>
      </c>
      <c r="F35" s="29" t="n">
        <v>10</v>
      </c>
    </row>
    <row r="36" ht="15" customHeight="1">
      <c r="A36" s="12" t="inlineStr">
        <is>
          <t>Reed switch</t>
        </is>
      </c>
      <c r="B36" s="29" t="n">
        <v>0</v>
      </c>
      <c r="C36" s="29" t="n">
        <v>0</v>
      </c>
      <c r="D36" s="12" t="inlineStr">
        <is>
          <t>Zero</t>
        </is>
      </c>
      <c r="E36" s="12" t="inlineStr">
        <is>
          <t>Magnetic &amp; Compass</t>
        </is>
      </c>
      <c r="F36" s="29" t="n">
        <v>0.5</v>
      </c>
    </row>
    <row r="37" ht="15" customHeight="1">
      <c r="A37" s="12" t="inlineStr">
        <is>
          <t>Piezo contact mic / disc</t>
        </is>
      </c>
      <c r="B37" s="29" t="n">
        <v>0</v>
      </c>
      <c r="C37" s="29" t="n"/>
      <c r="D37" s="12" t="inlineStr">
        <is>
          <t>Zero</t>
        </is>
      </c>
      <c r="E37" s="12" t="inlineStr">
        <is>
          <t>Sound &amp; Audio</t>
        </is>
      </c>
      <c r="F37" s="29" t="n">
        <v>0.5</v>
      </c>
    </row>
    <row r="38" ht="15" customHeight="1">
      <c r="A38" s="12" t="inlineStr">
        <is>
          <t>Geophone SM-24</t>
        </is>
      </c>
      <c r="B38" s="29" t="n">
        <v>0</v>
      </c>
      <c r="C38" s="29" t="n"/>
      <c r="D38" s="12" t="inlineStr">
        <is>
          <t>Zero</t>
        </is>
      </c>
      <c r="E38" s="12" t="inlineStr">
        <is>
          <t>Motion &amp; Vibration</t>
        </is>
      </c>
      <c r="F38" s="29" t="n">
        <v>30</v>
      </c>
    </row>
    <row r="39" ht="15" customHeight="1">
      <c r="A39" s="12" t="inlineStr">
        <is>
          <t>Piezo shock/knock element</t>
        </is>
      </c>
      <c r="B39" s="29" t="n">
        <v>0</v>
      </c>
      <c r="C39" s="29" t="n"/>
      <c r="D39" s="12" t="inlineStr">
        <is>
          <t>Zero</t>
        </is>
      </c>
      <c r="E39" s="12" t="inlineStr">
        <is>
          <t>Motion &amp; Vibration</t>
        </is>
      </c>
      <c r="F39" s="29" t="n">
        <v>3</v>
      </c>
    </row>
    <row r="40" ht="15" customHeight="1">
      <c r="A40" s="12" t="inlineStr">
        <is>
          <t>Anemometer cup sensor</t>
        </is>
      </c>
      <c r="B40" s="29" t="n">
        <v>0</v>
      </c>
      <c r="C40" s="29" t="n"/>
      <c r="D40" s="12" t="inlineStr">
        <is>
          <t>Zero</t>
        </is>
      </c>
      <c r="E40" s="12" t="inlineStr">
        <is>
          <t>Weather &amp; Outdoor</t>
        </is>
      </c>
      <c r="F40" s="29" t="n">
        <v>12</v>
      </c>
    </row>
    <row r="41" ht="15" customHeight="1">
      <c r="A41" s="12" t="inlineStr">
        <is>
          <t>Tipping bucket rain gauge</t>
        </is>
      </c>
      <c r="B41" s="29" t="n">
        <v>0</v>
      </c>
      <c r="C41" s="29" t="n"/>
      <c r="D41" s="12" t="inlineStr">
        <is>
          <t>Zero</t>
        </is>
      </c>
      <c r="E41" s="12" t="inlineStr">
        <is>
          <t>Weather &amp; Outdoor</t>
        </is>
      </c>
      <c r="F41" s="29" t="n">
        <v>12</v>
      </c>
    </row>
    <row r="42" ht="15" customHeight="1">
      <c r="A42" s="12" t="inlineStr">
        <is>
          <t>SCT-013 CT clamp</t>
        </is>
      </c>
      <c r="B42" s="29" t="n">
        <v>0</v>
      </c>
      <c r="C42" s="29" t="n"/>
      <c r="D42" s="12" t="inlineStr">
        <is>
          <t>Zero</t>
        </is>
      </c>
      <c r="E42" s="12" t="inlineStr">
        <is>
          <t>Power &amp; Electrical</t>
        </is>
      </c>
      <c r="F42" s="29" t="n">
        <v>10</v>
      </c>
    </row>
    <row r="43" ht="15" customHeight="1">
      <c r="A43" s="12" t="inlineStr">
        <is>
          <t>Weight-in-motion: piezo cable</t>
        </is>
      </c>
      <c r="B43" s="29" t="n">
        <v>0</v>
      </c>
      <c r="C43" s="29" t="n"/>
      <c r="D43" s="12" t="inlineStr">
        <is>
          <t>Zero</t>
        </is>
      </c>
      <c r="E43" s="12" t="inlineStr">
        <is>
          <t>Motion &amp; Vibration</t>
        </is>
      </c>
      <c r="F43" s="29" t="n">
        <v>15</v>
      </c>
    </row>
    <row r="44" ht="15" customHeight="1">
      <c r="A44" s="12" t="inlineStr">
        <is>
          <t>SHTC3 tiny low-power RH/T</t>
        </is>
      </c>
      <c r="B44" s="29" t="n">
        <v>0</v>
      </c>
      <c r="C44" s="29" t="n"/>
      <c r="D44" s="12" t="inlineStr">
        <is>
          <t>Zero</t>
        </is>
      </c>
      <c r="E44" s="12" t="inlineStr">
        <is>
          <t>Humidity &amp; Moisture</t>
        </is>
      </c>
      <c r="F44" s="29" t="n">
        <v>4</v>
      </c>
    </row>
    <row r="45" ht="15" customHeight="1">
      <c r="A45" s="12" t="inlineStr">
        <is>
          <t>MAX44009 ultra-low-power lux</t>
        </is>
      </c>
      <c r="B45" s="29" t="n">
        <v>0</v>
      </c>
      <c r="C45" s="29" t="n"/>
      <c r="D45" s="12" t="inlineStr">
        <is>
          <t>Zero</t>
        </is>
      </c>
      <c r="E45" s="12" t="inlineStr">
        <is>
          <t>Light &amp; UV</t>
        </is>
      </c>
      <c r="F45" s="29" t="n">
        <v>3</v>
      </c>
    </row>
    <row r="46" ht="15" customHeight="1">
      <c r="A46" s="12" t="inlineStr">
        <is>
          <t>KX132 low-power accel</t>
        </is>
      </c>
      <c r="B46" s="29" t="n">
        <v>0</v>
      </c>
      <c r="C46" s="29" t="n"/>
      <c r="D46" s="12" t="inlineStr">
        <is>
          <t>Zero</t>
        </is>
      </c>
      <c r="E46" s="12" t="inlineStr">
        <is>
          <t>Motion &amp; Vibration</t>
        </is>
      </c>
      <c r="F46" s="29" t="n">
        <v>6</v>
      </c>
    </row>
    <row r="47" ht="15" customHeight="1">
      <c r="A47" s="12" t="inlineStr">
        <is>
          <t>MAX4466 adjustable mic amp</t>
        </is>
      </c>
      <c r="B47" s="29" t="n">
        <v>0</v>
      </c>
      <c r="C47" s="29" t="n"/>
      <c r="D47" s="12" t="inlineStr">
        <is>
          <t>Zero</t>
        </is>
      </c>
      <c r="E47" s="12" t="inlineStr">
        <is>
          <t>Sound &amp; Audio</t>
        </is>
      </c>
      <c r="F47" s="29" t="n">
        <v>6</v>
      </c>
    </row>
    <row r="48" ht="15" customHeight="1">
      <c r="A48" s="12" t="inlineStr">
        <is>
          <t>ESP32 internal sensors (free!)</t>
        </is>
      </c>
      <c r="B48" s="29" t="n">
        <v>0</v>
      </c>
      <c r="C48" s="29" t="n"/>
      <c r="D48" s="12" t="inlineStr">
        <is>
          <t>Zero</t>
        </is>
      </c>
      <c r="E48" s="12" t="inlineStr">
        <is>
          <t>Frontier Sensing</t>
        </is>
      </c>
      <c r="F48" s="29" t="n">
        <v>0</v>
      </c>
    </row>
    <row r="49" ht="15" customHeight="1">
      <c r="A49" s="12" t="inlineStr">
        <is>
          <t>HDC3022 humidity + temp</t>
        </is>
      </c>
      <c r="B49" s="29" t="n">
        <v>1</v>
      </c>
      <c r="C49" s="29" t="n"/>
      <c r="D49" s="12" t="inlineStr">
        <is>
          <t>Microamp</t>
        </is>
      </c>
      <c r="E49" s="12" t="inlineStr">
        <is>
          <t>Humidity &amp; Moisture</t>
        </is>
      </c>
      <c r="F49" s="29" t="n">
        <v>7</v>
      </c>
    </row>
    <row r="50" ht="15" customHeight="1">
      <c r="A50" s="12" t="inlineStr">
        <is>
          <t>MMC5603 precision magnetometer</t>
        </is>
      </c>
      <c r="B50" s="29" t="n">
        <v>1</v>
      </c>
      <c r="C50" s="29" t="n"/>
      <c r="D50" s="12" t="inlineStr">
        <is>
          <t>Microamp</t>
        </is>
      </c>
      <c r="E50" s="12" t="inlineStr">
        <is>
          <t>Magnetic &amp; Compass</t>
        </is>
      </c>
      <c r="F50" s="29" t="n">
        <v>6</v>
      </c>
    </row>
    <row r="51" ht="15" customHeight="1">
      <c r="A51" s="12" t="inlineStr">
        <is>
          <t>DPS310 barometer</t>
        </is>
      </c>
      <c r="B51" s="29" t="n">
        <v>1.7</v>
      </c>
      <c r="C51" s="29" t="n"/>
      <c r="D51" s="12" t="inlineStr">
        <is>
          <t>Microamp</t>
        </is>
      </c>
      <c r="E51" s="12" t="inlineStr">
        <is>
          <t>Pressure &amp; Altitude</t>
        </is>
      </c>
      <c r="F51" s="29" t="n">
        <v>7</v>
      </c>
    </row>
    <row r="52" ht="15" customHeight="1">
      <c r="A52" s="12" t="inlineStr">
        <is>
          <t>LIS3DH budget accel</t>
        </is>
      </c>
      <c r="B52" s="29" t="n">
        <v>2</v>
      </c>
      <c r="C52" s="29" t="n"/>
      <c r="D52" s="12" t="inlineStr">
        <is>
          <t>Microamp</t>
        </is>
      </c>
      <c r="E52" s="12" t="inlineStr">
        <is>
          <t>Motion &amp; Vibration</t>
        </is>
      </c>
      <c r="F52" s="29" t="n">
        <v>3</v>
      </c>
    </row>
    <row r="53" ht="15" customHeight="1">
      <c r="A53" s="12" t="inlineStr">
        <is>
          <t>BMP280 budget barometer</t>
        </is>
      </c>
      <c r="B53" s="29" t="n">
        <v>2.7</v>
      </c>
      <c r="C53" s="29" t="n"/>
      <c r="D53" s="12" t="inlineStr">
        <is>
          <t>Microamp</t>
        </is>
      </c>
      <c r="E53" s="12" t="inlineStr">
        <is>
          <t>Pressure &amp; Altitude</t>
        </is>
      </c>
      <c r="F53" s="29" t="n">
        <v>1.5</v>
      </c>
    </row>
    <row r="54" ht="15" customHeight="1">
      <c r="A54" s="12" t="inlineStr">
        <is>
          <t>LPS22HB pressure sensor</t>
        </is>
      </c>
      <c r="B54" s="29" t="n">
        <v>3</v>
      </c>
      <c r="C54" s="29" t="n"/>
      <c r="D54" s="12" t="inlineStr">
        <is>
          <t>Microamp</t>
        </is>
      </c>
      <c r="E54" s="12" t="inlineStr">
        <is>
          <t>Pressure &amp; Altitude</t>
        </is>
      </c>
      <c r="F54" s="29" t="n">
        <v>6</v>
      </c>
    </row>
    <row r="55" ht="15" customHeight="1">
      <c r="A55" s="12" t="inlineStr">
        <is>
          <t>BMP390 precision barometer</t>
        </is>
      </c>
      <c r="B55" s="29" t="n">
        <v>3.2</v>
      </c>
      <c r="C55" s="29" t="n">
        <v>0.7</v>
      </c>
      <c r="D55" s="12" t="inlineStr">
        <is>
          <t>Microamp</t>
        </is>
      </c>
      <c r="E55" s="12" t="inlineStr">
        <is>
          <t>Pressure &amp; Altitude</t>
        </is>
      </c>
      <c r="F55" s="29" t="n">
        <v>10</v>
      </c>
    </row>
    <row r="56" ht="15" customHeight="1">
      <c r="A56" s="12" t="inlineStr">
        <is>
          <t>TMP117 ultra-precise temp</t>
        </is>
      </c>
      <c r="B56" s="29" t="n">
        <v>3.5</v>
      </c>
      <c r="C56" s="29" t="n">
        <v>0.15</v>
      </c>
      <c r="D56" s="12" t="inlineStr">
        <is>
          <t>Microamp</t>
        </is>
      </c>
      <c r="E56" s="12" t="inlineStr">
        <is>
          <t>Temperature</t>
        </is>
      </c>
      <c r="F56" s="29" t="n">
        <v>11</v>
      </c>
    </row>
    <row r="57" ht="15" customHeight="1">
      <c r="A57" s="12" t="inlineStr">
        <is>
          <t>BME280 climate combo</t>
        </is>
      </c>
      <c r="B57" s="29" t="n">
        <v>3.6</v>
      </c>
      <c r="C57" s="29" t="n">
        <v>0.1</v>
      </c>
      <c r="D57" s="12" t="inlineStr">
        <is>
          <t>Microamp</t>
        </is>
      </c>
      <c r="E57" s="12" t="inlineStr">
        <is>
          <t>Humidity &amp; Moisture</t>
        </is>
      </c>
      <c r="F57" s="29" t="n">
        <v>6</v>
      </c>
    </row>
    <row r="58" ht="15" customHeight="1">
      <c r="A58" s="12" t="inlineStr">
        <is>
          <t>ESP32 native touch pins</t>
        </is>
      </c>
      <c r="B58" s="29" t="n">
        <v>5</v>
      </c>
      <c r="C58" s="29" t="n">
        <v>5</v>
      </c>
      <c r="D58" s="12" t="inlineStr">
        <is>
          <t>Microamp</t>
        </is>
      </c>
      <c r="E58" s="12" t="inlineStr">
        <is>
          <t>Touch &amp; Capacitive</t>
        </is>
      </c>
      <c r="F58" s="29" t="n">
        <v>0</v>
      </c>
    </row>
    <row r="59" ht="15" customHeight="1">
      <c r="A59" s="12" t="inlineStr">
        <is>
          <t>TTP223 single touch</t>
        </is>
      </c>
      <c r="B59" s="29" t="n">
        <v>9</v>
      </c>
      <c r="C59" s="29" t="n"/>
      <c r="D59" s="12" t="inlineStr">
        <is>
          <t>Microamp</t>
        </is>
      </c>
      <c r="E59" s="12" t="inlineStr">
        <is>
          <t>Touch &amp; Capacitive</t>
        </is>
      </c>
      <c r="F59" s="29" t="n">
        <v>0.5</v>
      </c>
    </row>
    <row r="60" ht="15" customHeight="1">
      <c r="A60" s="12" t="inlineStr">
        <is>
          <t>SI1145 UV/IR/visible</t>
        </is>
      </c>
      <c r="B60" s="29" t="n">
        <v>9</v>
      </c>
      <c r="C60" s="29" t="n"/>
      <c r="D60" s="12" t="inlineStr">
        <is>
          <t>Microamp</t>
        </is>
      </c>
      <c r="E60" s="12" t="inlineStr">
        <is>
          <t>Light &amp; UV</t>
        </is>
      </c>
      <c r="F60" s="29" t="n">
        <v>8</v>
      </c>
    </row>
    <row r="61" ht="15" customHeight="1">
      <c r="A61" s="12" t="inlineStr">
        <is>
          <t>TLV493D 3D magnetic</t>
        </is>
      </c>
      <c r="B61" s="29" t="n">
        <v>10</v>
      </c>
      <c r="C61" s="29" t="n"/>
      <c r="D61" s="12" t="inlineStr">
        <is>
          <t>Microamp</t>
        </is>
      </c>
      <c r="E61" s="12" t="inlineStr">
        <is>
          <t>Magnetic &amp; Compass</t>
        </is>
      </c>
      <c r="F61" s="29" t="n">
        <v>6</v>
      </c>
    </row>
    <row r="62" ht="15" customHeight="1">
      <c r="A62" s="12" t="inlineStr">
        <is>
          <t>MS5611 high-res altimeter</t>
        </is>
      </c>
      <c r="B62" s="29" t="n">
        <v>12.5</v>
      </c>
      <c r="C62" s="29" t="n"/>
      <c r="D62" s="12" t="inlineStr">
        <is>
          <t>Microamp</t>
        </is>
      </c>
      <c r="E62" s="12" t="inlineStr">
        <is>
          <t>Pressure &amp; Altitude</t>
        </is>
      </c>
      <c r="F62" s="29" t="n">
        <v>6</v>
      </c>
    </row>
    <row r="63" ht="15" customHeight="1">
      <c r="A63" s="12" t="inlineStr">
        <is>
          <t>AM312 mini PIR</t>
        </is>
      </c>
      <c r="B63" s="29" t="n">
        <v>15</v>
      </c>
      <c r="C63" s="29" t="n"/>
      <c r="D63" s="12" t="inlineStr">
        <is>
          <t>Microamp</t>
        </is>
      </c>
      <c r="E63" s="12" t="inlineStr">
        <is>
          <t>Presence &amp; Occupancy</t>
        </is>
      </c>
      <c r="F63" s="29" t="n">
        <v>2</v>
      </c>
    </row>
    <row r="64" ht="15" customHeight="1">
      <c r="A64" s="12" t="inlineStr">
        <is>
          <t>MPR121 12-pad cap touch</t>
        </is>
      </c>
      <c r="B64" s="29" t="n">
        <v>29</v>
      </c>
      <c r="C64" s="29" t="n">
        <v>3</v>
      </c>
      <c r="D64" s="12" t="inlineStr">
        <is>
          <t>Microamp</t>
        </is>
      </c>
      <c r="E64" s="12" t="inlineStr">
        <is>
          <t>Touch &amp; Capacitive</t>
        </is>
      </c>
      <c r="F64" s="29" t="n">
        <v>6</v>
      </c>
    </row>
    <row r="65" ht="15" customHeight="1">
      <c r="A65" s="12" t="inlineStr">
        <is>
          <t>VEML7700 high-accuracy lux</t>
        </is>
      </c>
      <c r="B65" s="29" t="n">
        <v>45</v>
      </c>
      <c r="C65" s="29" t="n"/>
      <c r="D65" s="12" t="inlineStr">
        <is>
          <t>Microamp</t>
        </is>
      </c>
      <c r="E65" s="12" t="inlineStr">
        <is>
          <t>Light &amp; UV</t>
        </is>
      </c>
      <c r="F65" s="29" t="n">
        <v>5</v>
      </c>
    </row>
    <row r="66" ht="15" customHeight="1">
      <c r="A66" s="12" t="inlineStr">
        <is>
          <t>TMP36 analog temp</t>
        </is>
      </c>
      <c r="B66" s="29" t="n">
        <v>50</v>
      </c>
      <c r="C66" s="29" t="n"/>
      <c r="D66" s="12" t="inlineStr">
        <is>
          <t>Microamp</t>
        </is>
      </c>
      <c r="E66" s="12" t="inlineStr">
        <is>
          <t>Temperature</t>
        </is>
      </c>
      <c r="F66" s="29" t="n">
        <v>1.5</v>
      </c>
    </row>
    <row r="67" ht="15" customHeight="1">
      <c r="A67" s="12" t="inlineStr">
        <is>
          <t>HC-SR501 PIR motion</t>
        </is>
      </c>
      <c r="B67" s="29" t="n">
        <v>50</v>
      </c>
      <c r="C67" s="29" t="n"/>
      <c r="D67" s="12" t="inlineStr">
        <is>
          <t>Microamp</t>
        </is>
      </c>
      <c r="E67" s="12" t="inlineStr">
        <is>
          <t>Presence &amp; Occupancy</t>
        </is>
      </c>
      <c r="F67" s="29" t="n">
        <v>1.5</v>
      </c>
    </row>
    <row r="68" ht="15" customHeight="1">
      <c r="A68" s="12" t="inlineStr">
        <is>
          <t>AS3935 lightning detector</t>
        </is>
      </c>
      <c r="B68" s="29" t="n">
        <v>60</v>
      </c>
      <c r="C68" s="29" t="n"/>
      <c r="D68" s="12" t="inlineStr">
        <is>
          <t>Microamp</t>
        </is>
      </c>
      <c r="E68" s="12" t="inlineStr">
        <is>
          <t>Weather &amp; Outdoor</t>
        </is>
      </c>
      <c r="F68" s="29" t="n">
        <v>20</v>
      </c>
    </row>
    <row r="69" ht="15" customHeight="1">
      <c r="A69" s="12" t="inlineStr">
        <is>
          <t>QMC5883L compass</t>
        </is>
      </c>
      <c r="B69" s="29" t="n">
        <v>75</v>
      </c>
      <c r="C69" s="29" t="n"/>
      <c r="D69" s="12" t="inlineStr">
        <is>
          <t>Microamp</t>
        </is>
      </c>
      <c r="E69" s="12" t="inlineStr">
        <is>
          <t>Magnetic &amp; Compass</t>
        </is>
      </c>
      <c r="F69" s="29" t="n">
        <v>2</v>
      </c>
    </row>
    <row r="70" ht="15" customHeight="1">
      <c r="A70" s="12" t="inlineStr">
        <is>
          <t>NTC thermistor 10k</t>
        </is>
      </c>
      <c r="B70" s="29" t="n">
        <v>100</v>
      </c>
      <c r="C70" s="29" t="n"/>
      <c r="D70" s="12" t="inlineStr">
        <is>
          <t>Microamp</t>
        </is>
      </c>
      <c r="E70" s="12" t="inlineStr">
        <is>
          <t>Temperature</t>
        </is>
      </c>
      <c r="F70" s="29" t="n">
        <v>0.3</v>
      </c>
    </row>
    <row r="71" ht="15" customHeight="1">
      <c r="A71" s="12" t="inlineStr">
        <is>
          <t>LTR-390 UV + ambient</t>
        </is>
      </c>
      <c r="B71" s="29" t="n">
        <v>100</v>
      </c>
      <c r="C71" s="29" t="n"/>
      <c r="D71" s="12" t="inlineStr">
        <is>
          <t>Microamp</t>
        </is>
      </c>
      <c r="E71" s="12" t="inlineStr">
        <is>
          <t>Light &amp; UV</t>
        </is>
      </c>
      <c r="F71" s="29" t="n">
        <v>5</v>
      </c>
    </row>
    <row r="72" ht="15" customHeight="1">
      <c r="A72" s="12" t="inlineStr">
        <is>
          <t>Photoresistor (LDR)</t>
        </is>
      </c>
      <c r="B72" s="29" t="n">
        <v>100</v>
      </c>
      <c r="C72" s="29" t="n"/>
      <c r="D72" s="12" t="inlineStr">
        <is>
          <t>Microamp</t>
        </is>
      </c>
      <c r="E72" s="12" t="inlineStr">
        <is>
          <t>Light &amp; UV</t>
        </is>
      </c>
      <c r="F72" s="29" t="n">
        <v>0.2</v>
      </c>
    </row>
    <row r="73" ht="15" customHeight="1">
      <c r="A73" s="12" t="inlineStr">
        <is>
          <t>OPT4048 tristimulus color</t>
        </is>
      </c>
      <c r="B73" s="29" t="n">
        <v>100</v>
      </c>
      <c r="C73" s="29" t="n"/>
      <c r="D73" s="12" t="inlineStr">
        <is>
          <t>Microamp</t>
        </is>
      </c>
      <c r="E73" s="12" t="inlineStr">
        <is>
          <t>Colour &amp; Spectral</t>
        </is>
      </c>
      <c r="F73" s="29" t="n">
        <v>9</v>
      </c>
    </row>
  </sheetData>
  <mergeCells count="28">
    <mergeCell ref="D20:H20"/>
    <mergeCell ref="D10:H10"/>
    <mergeCell ref="A24:H24"/>
    <mergeCell ref="D19:H19"/>
    <mergeCell ref="D21:H21"/>
    <mergeCell ref="D6:H6"/>
    <mergeCell ref="B26:H26"/>
    <mergeCell ref="D11:H11"/>
    <mergeCell ref="B25:H25"/>
    <mergeCell ref="D17:H17"/>
    <mergeCell ref="A3:H3"/>
    <mergeCell ref="D7:H7"/>
    <mergeCell ref="D16:H16"/>
    <mergeCell ref="B27:H27"/>
    <mergeCell ref="A2:H2"/>
    <mergeCell ref="A14:H14"/>
    <mergeCell ref="A5:H5"/>
    <mergeCell ref="A23:H23"/>
    <mergeCell ref="A32:H32"/>
    <mergeCell ref="D18:H18"/>
    <mergeCell ref="D9:H9"/>
    <mergeCell ref="A4:H4"/>
    <mergeCell ref="D12:H12"/>
    <mergeCell ref="D8:H8"/>
    <mergeCell ref="D15:H15"/>
    <mergeCell ref="B29:H29"/>
    <mergeCell ref="A31:H31"/>
    <mergeCell ref="B28:H28"/>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worksheet>
</file>

<file path=xl/worksheets/sheet19.xml><?xml version="1.0" encoding="utf-8"?>
<worksheet xmlns="http://schemas.openxmlformats.org/spreadsheetml/2006/main">
  <sheetPr>
    <tabColor rgb="007A6A5A"/>
    <outlinePr summaryBelow="1" summaryRight="1"/>
    <pageSetUpPr/>
  </sheetPr>
  <dimension ref="A1:V14"/>
  <sheetViews>
    <sheetView showGridLines="0" zoomScale="100" workbookViewId="0">
      <selection activeCell="A1" sqref="A1"/>
    </sheetView>
  </sheetViews>
  <sheetFormatPr baseColWidth="8" defaultRowHeight="15"/>
  <cols>
    <col width="22" customWidth="1" min="1" max="1"/>
    <col width="40" customWidth="1" min="2" max="2"/>
    <col width="40" customWidth="1" min="3" max="3"/>
    <col width="30" customWidth="1" min="4" max="4"/>
    <col width="24" customWidth="1" min="5" max="5"/>
    <col width="42" customWidth="1" min="6" max="6"/>
    <col width="30" customWidth="1" min="7" max="7"/>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1" t="inlineStr">
        <is>
          <t>Archetypes</t>
        </is>
      </c>
      <c r="T1" s="2" t="inlineStr">
        <is>
          <t>Buying</t>
        </is>
      </c>
      <c r="U1" s="2" t="inlineStr">
        <is>
          <t>ESP32</t>
        </is>
      </c>
      <c r="V1" s="2" t="inlineStr">
        <is>
          <t>Provenance</t>
        </is>
      </c>
    </row>
    <row r="2" ht="32" customHeight="1">
      <c r="A2" s="3" t="inlineStr">
        <is>
          <t>🏗 PROJECT ARCHETYPES — the shapes projects actually take</t>
        </is>
      </c>
      <c r="B2" s="4" t="n"/>
      <c r="C2" s="4" t="n"/>
      <c r="D2" s="4" t="n"/>
      <c r="E2" s="4" t="n"/>
      <c r="F2" s="4" t="n"/>
      <c r="G2" s="4" t="n"/>
    </row>
    <row r="3" ht="26" customHeight="1">
      <c r="A3" s="5" t="inlineStr">
        <is>
          <t>Ten recurring architectures. Most builds are one of these with different sensors bolted on; knowing which one you're building tells you the failure modes in advance.</t>
        </is>
      </c>
    </row>
    <row r="4">
      <c r="A4" s="24" t="inlineStr">
        <is>
          <t>Archetype</t>
        </is>
      </c>
      <c r="B4" s="24" t="inlineStr">
        <is>
          <t>What it is</t>
        </is>
      </c>
      <c r="C4" s="24" t="inlineStr">
        <is>
          <t>Typical parts</t>
        </is>
      </c>
      <c r="D4" s="24" t="inlineStr">
        <is>
          <t>Power strategy</t>
        </is>
      </c>
      <c r="E4" s="24" t="inlineStr">
        <is>
          <t>Comms</t>
        </is>
      </c>
      <c r="F4" s="24" t="inlineStr">
        <is>
          <t>Where it usually fails</t>
        </is>
      </c>
      <c r="G4" s="24" t="inlineStr">
        <is>
          <t>Good first build</t>
        </is>
      </c>
    </row>
    <row r="5" ht="62" customHeight="1">
      <c r="A5" s="105" t="inlineStr">
        <is>
          <t>Battery sleeper node</t>
        </is>
      </c>
      <c r="B5" s="12" t="inlineStr">
        <is>
          <t>Wakes on a timer or an interrupt, takes a reading, transmits, sleeps again. Spends &gt;99.9% of its life asleep. The workhorse of remote sensing.</t>
        </is>
      </c>
      <c r="C5" s="12" t="inlineStr">
        <is>
          <t>ESP32-C3 or C6 · one or two I²C sensors with alert pins · LiPo or 18650 · TP4056 charger · a MOSFET to cut sensor power during sleep</t>
        </is>
      </c>
      <c r="D5" s="12" t="inlineStr">
        <is>
          <t>Deep sleep 5-20µA. The radio, not the sensor, dominates: budget by connection time, not measurement time. Use ESP-NOW rather than Wi-Fi association and battery life often triples.</t>
        </is>
      </c>
      <c r="E5" s="12" t="inlineStr">
        <is>
          <t>ESP-NOW to a mains-powered gateway · LoRa where range matters</t>
        </is>
      </c>
      <c r="F5" s="76" t="inlineStr">
        <is>
          <t>Wi-Fi association takes 2-5s and eats the budget. A sensor left powered during sleep costs more than the sensor's own datasheet suggests. RTC memory is lost on brownout, so counters reset. Cold halves battery capacity and charging a LiPo below 0°C damages it permanently.</t>
        </is>
      </c>
      <c r="G5" s="12" t="inlineStr">
        <is>
          <t>Fridge/freezer temperature alarm using an MCP9808's ALERT pin as the wake source — it sleeps at ~0.1µA and only boots when temperature drifts.</t>
        </is>
      </c>
    </row>
    <row r="6" ht="62" customHeight="1">
      <c r="A6" s="105" t="inlineStr">
        <is>
          <t>Always-on gateway</t>
        </is>
      </c>
      <c r="B6" s="12" t="inlineStr">
        <is>
          <t>Mains-powered, permanently connected, aggregates many nodes and speaks to the outside world. Every fleet needs exactly one.</t>
        </is>
      </c>
      <c r="C6" s="12" t="inlineStr">
        <is>
          <t>ESP32 classic or S3 · Ethernet or Wi-Fi · optional SD for buffering · a real 5V supply, not a phone charger</t>
        </is>
      </c>
      <c r="D6" s="12" t="inlineStr">
        <is>
          <t>Mains. Size the supply for radio peaks (~500mA), not average draw, and add bulk capacitance near the module.</t>
        </is>
      </c>
      <c r="E6" s="12" t="inlineStr">
        <is>
          <t>ESP-NOW or LoRa downward · MQTT/HTTP upward · Home Assistant or a broker</t>
        </is>
      </c>
      <c r="F6" s="76" t="inlineStr">
        <is>
          <t>Brownout resets from an undersized supply are the single most common cause of 'random' reboots. Wi-Fi channel must match the ESP-NOW peers. Buffer to SD or NVS or you lose data whenever the network blips.</t>
        </is>
      </c>
      <c r="G6" s="12" t="inlineStr">
        <is>
          <t>An ESP-NOW → MQTT bridge. Build it before the second sensor node, not after.</t>
        </is>
      </c>
    </row>
    <row r="7" ht="62" customHeight="1">
      <c r="A7" s="105" t="inlineStr">
        <is>
          <t>Closed-loop controller</t>
        </is>
      </c>
      <c r="B7" s="12" t="inlineStr">
        <is>
          <t>Reads a sensor, decides, drives an actuator, and keeps doing it. The moment a project stops reporting and starts ACTING.</t>
        </is>
      </c>
      <c r="C7" s="12" t="inlineStr">
        <is>
          <t>Sensor · ESP32 · relay/SSR/MOSFET/servo · a manual override switch · an independent hardware failsafe</t>
        </is>
      </c>
      <c r="D7" s="12" t="inlineStr">
        <is>
          <t>Mains or a supply sized for the actuator, isolated from the logic rail.</t>
        </is>
      </c>
      <c r="E7" s="12" t="inlineStr">
        <is>
          <t>Local-first. It must keep controlling when the network is down.</t>
        </is>
      </c>
      <c r="F7" s="76" t="inlineStr">
        <is>
          <t>Hysteresis: without a deadband the output chatters and destroys relays. A crashed ESP32 leaves the output latched — use a hardware watchdog and a failsafe (thermal cutout, float switch, mechanical stop) that works with the micro dead. Never make the ESP32 the only thing between a heater and a fire.</t>
        </is>
      </c>
      <c r="G7" s="12" t="inlineStr">
        <is>
          <t>A fermentation or reptile-enclosure thermostat: DS18B20, SSR, 0.5°C hysteresis, plus a mechanical thermal cutout in series.</t>
        </is>
      </c>
    </row>
    <row r="8" ht="62" customHeight="1">
      <c r="A8" s="105" t="inlineStr">
        <is>
          <t>Field station</t>
        </is>
      </c>
      <c r="B8" s="12" t="inlineStr">
        <is>
          <t>Solar-powered, outdoors, unattended for months, reporting over long range.</t>
        </is>
      </c>
      <c r="C8" s="12" t="inlineStr">
        <is>
          <t>Weatherproof enclosure with a vented gland · solar panel · charge controller · 18650 with a protection board · LoRa · desiccant</t>
        </is>
      </c>
      <c r="D8" s="12" t="inlineStr">
        <is>
          <t>Solar plus battery, sized for the WORST week of the year, not the average. Measure your own consumption with an INA226 before sizing anything.</t>
        </is>
      </c>
      <c r="E8" s="12" t="inlineStr">
        <is>
          <t>LoRa or LoRaWAN · store-and-forward when the link drops</t>
        </is>
      </c>
      <c r="F8" s="76" t="inlineStr">
        <is>
          <t>Water gets in through the cable gland and the vent, not the lid. Condensation inside the box is the real enemy: an RH sensor inside a 'sealed' enclosure is the cheapest gasket-failure detector there is. Insects nest in vents. Panels foul, and winter sun is a fraction of summer.</t>
        </is>
      </c>
      <c r="G8" s="12" t="inlineStr">
        <is>
          <t>A weather node: BME280 in a radiation shield, tipping-bucket rain gauge, solar plus LoRa. It teaches every bus and every outdoor failure mode.</t>
        </is>
      </c>
    </row>
    <row r="9" ht="62" customHeight="1">
      <c r="A9" s="105" t="inlineStr">
        <is>
          <t>Wearable / body node</t>
        </is>
      </c>
      <c r="B9" s="12" t="inlineStr">
        <is>
          <t>Small, light, battery-powered, worn on a person. Comfort and safety constraints dominate every technical choice.</t>
        </is>
      </c>
      <c r="C9" s="12" t="inlineStr">
        <is>
          <t>ESP32-C3 in a small package · LiPo with protection · BLE · IMU · skin-safe electrodes or optical sensor · haptic feedback</t>
        </is>
      </c>
      <c r="D9" s="12" t="inlineStr">
        <is>
          <t>Coin cell to small LiPo. BLE rather than Wi-Fi; wake on IMU motion rather than on a timer.</t>
        </is>
      </c>
      <c r="E9" s="12" t="inlineStr">
        <is>
          <t>BLE to a phone. Buffer locally, sync opportunistically.</t>
        </is>
      </c>
      <c r="F9" s="76" t="inlineStr">
        <is>
          <t>Motion artefacts swamp every optical and biopotential signal — this is THE problem in wearables, not sensor accuracy. Skin contact quality drifts as the wearer moves and sweats. LiPo cells near skin need protection circuitry and a mechanical guard. Nothing sharp, nothing hot.</t>
        </is>
      </c>
      <c r="G9" s="12" t="inlineStr">
        <is>
          <t>An HRV band: MAX30102 plus an IMU used purely to reject motion-corrupted beats. The IMU is the interesting part.</t>
        </is>
      </c>
    </row>
    <row r="10" ht="62" customHeight="1">
      <c r="A10" s="105" t="inlineStr">
        <is>
          <t>Fleet / mesh</t>
        </is>
      </c>
      <c r="B10" s="12" t="inlineStr">
        <is>
          <t>Many cheap identical nodes turning a measurement into a map. The moment a gadget becomes an instrument.</t>
        </is>
      </c>
      <c r="C10" s="12" t="inlineStr">
        <is>
          <t>10+ identical nodes · one gateway · a provisioning scheme · a dashboard</t>
        </is>
      </c>
      <c r="D10" s="12" t="inlineStr">
        <is>
          <t>Per-node battery or USB. Standardise so you build one node ten times.</t>
        </is>
      </c>
      <c r="E10" s="12" t="inlineStr">
        <is>
          <t>ESP-NOW (no router, sub-10ms, ~250 byte payload) or LoRa for spread-out sites</t>
        </is>
      </c>
      <c r="F10" s="76" t="inlineStr">
        <is>
          <t>Provisioning ten nodes by hand is where the project dies — solve naming, credentials and OTA on node one. Nodes must be interchangeable: if node 7 reads 0.4°C high you need per-node calibration offsets. Clock sync matters the moment you compare nodes.</t>
        </is>
      </c>
      <c r="G10" s="12" t="inlineStr">
        <is>
          <t>Room-by-room comfort mapping with ten $2 AHT20 nodes. The spatial pattern is invisible from any single point.</t>
        </is>
      </c>
    </row>
    <row r="11" ht="62" customHeight="1">
      <c r="A11" s="105" t="inlineStr">
        <is>
          <t>Logger / black box</t>
        </is>
      </c>
      <c r="B11" s="12" t="inlineStr">
        <is>
          <t>Records faithfully to local storage, retrieved later. No network required, which is exactly why it survives where connected devices don't.</t>
        </is>
      </c>
      <c r="C11" s="12" t="inlineStr">
        <is>
          <t>ESP32 · microSD or SPI flash · RTC (DS3231) · a real-time clock battery</t>
        </is>
      </c>
      <c r="D11" s="12" t="inlineStr">
        <is>
          <t>Whatever the deployment allows; logging is cheap, the radio is not.</t>
        </is>
      </c>
      <c r="E11" s="12" t="inlineStr">
        <is>
          <t>None during operation. That's the point.</t>
        </is>
      </c>
      <c r="F11" s="76" t="inlineStr">
        <is>
          <t>SD cards corrupt on power loss mid-write — flush often, or use SPI flash with a journalled scheme. Without an RTC your timestamps are meaningless after a reset. Log the units and the calibration state alongside the values, or the data is unreadable in six months.</t>
        </is>
      </c>
      <c r="G11" s="12" t="inlineStr">
        <is>
          <t>A shipment abuse logger: high-g accelerometer plus RTC, recording every impact with a timestamp.</t>
        </is>
      </c>
    </row>
    <row r="12" ht="62" customHeight="1">
      <c r="A12" s="105" t="inlineStr">
        <is>
          <t>Camera trap</t>
        </is>
      </c>
      <c r="B12" s="12" t="inlineStr">
        <is>
          <t>Sleeps until something happens, wakes, captures an image, stores or sends it.</t>
        </is>
      </c>
      <c r="C12" s="12" t="inlineStr">
        <is>
          <t>ESP32-S3 with PSRAM (not a C3) · OV2640/OV5640 · PIR or radar as the trigger · IR illuminator · large battery or solar</t>
        </is>
      </c>
      <c r="D12" s="12" t="inlineStr">
        <is>
          <t>Deep sleep between events. The camera and Wi-Fi together are the whole budget — an image upload can cost more charge than a day of sleeping.</t>
        </is>
      </c>
      <c r="E12" s="12" t="inlineStr">
        <is>
          <t>Wi-Fi burst on event · SD for the full-resolution copy</t>
        </is>
      </c>
      <c r="F12" s="76" t="inlineStr">
        <is>
          <t>A DVP camera consumes ~16 GPIO, which is why this needs an S3. PIR false-triggers on sunlight and moving vegetation will flatten the battery overnight — gate the trigger. Night images need IR illumination and a camera without an IR-cut filter.</t>
        </is>
      </c>
      <c r="G12" s="12" t="inlineStr">
        <is>
          <t>A wildlife or doorstep camera with a PIR wake and SD storage — get it working on USB power before adding a battery.</t>
        </is>
      </c>
    </row>
    <row r="13" ht="62" customHeight="1">
      <c r="A13" s="105" t="inlineStr">
        <is>
          <t>Bench instrument</t>
        </is>
      </c>
      <c r="B13" s="12" t="inlineStr">
        <is>
          <t>A purposeful measuring device with a display, used in the hand rather than installed. Interaction design matters as much as sensing.</t>
        </is>
      </c>
      <c r="C13" s="12" t="inlineStr">
        <is>
          <t>ESP32-S3 · TFT or ePaper · rotary encoder or touch · LiPo · a case you are not embarrassed by</t>
        </is>
      </c>
      <c r="D13" s="12" t="inlineStr">
        <is>
          <t>Rechargeable, with an honest battery indicator (a fuel gauge, not a voltage guess).</t>
        </is>
      </c>
      <c r="E13" s="12" t="inlineStr">
        <is>
          <t>Optional. USB for data export is usually enough.</t>
        </is>
      </c>
      <c r="F13" s="76" t="inlineStr">
        <is>
          <t>Display refresh dominates power and blocks the CPU. Analog front-ends pick up noise from the display's own supply — separate the grounds. Calibration must survive a reboot, which means NVS, not RAM.</t>
        </is>
      </c>
      <c r="G13" s="12" t="inlineStr">
        <is>
          <t>A thermal camera viewer: MLX90640 plus an SPI TFT on an S3. Instantly useful, and it teaches PSRAM and framebuffers.</t>
        </is>
      </c>
    </row>
    <row r="14" ht="62" customHeight="1">
      <c r="A14" s="105" t="inlineStr">
        <is>
          <t>Installation / art piece</t>
        </is>
      </c>
      <c r="B14" s="12" t="inlineStr">
        <is>
          <t>Sensing in service of an experience. Reliability under public abuse is the engineering problem; the sensing is often the easy part.</t>
        </is>
      </c>
      <c r="C14" s="12" t="inlineStr">
        <is>
          <t>ESP32 · presence or touch sensing · LEDs, DMX, sound or projection · a physical enclosure that survives the public</t>
        </is>
      </c>
      <c r="D14" s="12" t="inlineStr">
        <is>
          <t>Mains, with everything on one switched supply so a gallery can turn it off at night and on in the morning without you.</t>
        </is>
      </c>
      <c r="E14" s="12" t="inlineStr">
        <is>
          <t>Local. Never depend on venue Wi-Fi.</t>
        </is>
      </c>
      <c r="F14" s="76" t="inlineStr">
        <is>
          <t>Must recover from a power cut with no human intervention — no setup screens, no pairing, no app. Ambient light and crowd noise vary wildly between the workshop and the venue, so auto-calibrate on boot. Anything reachable will be touched, pulled and leaned on.</t>
        </is>
      </c>
      <c r="G14" s="12" t="inlineStr">
        <is>
          <t>A presence-reactive light: LD2410 plus a WS2812 strip, with graceful fades rather than binary switching — subtlety reads as magic.</t>
        </is>
      </c>
    </row>
  </sheetData>
  <mergeCells count="2">
    <mergeCell ref="A3:G3"/>
    <mergeCell ref="A2:G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5B8DB8"/>
    <outlinePr summaryBelow="1" summaryRight="1"/>
    <pageSetUpPr/>
  </sheetPr>
  <dimension ref="A1:V38"/>
  <sheetViews>
    <sheetView showGridLines="0" zoomScale="100" workbookViewId="0">
      <selection activeCell="A1" sqref="A1"/>
    </sheetView>
  </sheetViews>
  <sheetFormatPr baseColWidth="8" defaultRowHeight="15"/>
  <cols>
    <col width="8" customWidth="1" min="1" max="1"/>
    <col width="22" customWidth="1" min="2" max="2"/>
    <col width="26" customWidth="1" min="3" max="3"/>
    <col width="15" customWidth="1" min="4" max="4"/>
    <col width="66" customWidth="1" min="5" max="5"/>
    <col width="11"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1" t="inlineStr">
        <is>
          <t>Buying</t>
        </is>
      </c>
      <c r="U1" s="2" t="inlineStr">
        <is>
          <t>ESP32</t>
        </is>
      </c>
      <c r="V1" s="2" t="inlineStr">
        <is>
          <t>Provenance</t>
        </is>
      </c>
    </row>
    <row r="2" ht="32" customHeight="1">
      <c r="A2" s="3" t="inlineStr">
        <is>
          <t>🛒 BUYING GUIDE — where the parts live</t>
        </is>
      </c>
      <c r="B2" s="4" t="n"/>
      <c r="C2" s="4" t="n"/>
      <c r="D2" s="4" t="n"/>
      <c r="E2" s="4" t="n"/>
      <c r="F2" s="4" t="n"/>
    </row>
    <row r="3" ht="26" customHeight="1">
      <c r="A3" s="5" t="inlineStr">
        <is>
          <t>Vendor codes used throughout, plus the shopping wisdom that saves money and weeks.</t>
        </is>
      </c>
    </row>
    <row r="4">
      <c r="A4" s="24" t="inlineStr">
        <is>
          <t>Code</t>
        </is>
      </c>
      <c r="B4" s="24" t="inlineStr">
        <is>
          <t>Vendor</t>
        </is>
      </c>
      <c r="C4" s="24" t="inlineStr">
        <is>
          <t>Site</t>
        </is>
      </c>
      <c r="D4" s="24" t="inlineStr">
        <is>
          <t>Region</t>
        </is>
      </c>
      <c r="E4" s="24" t="inlineStr">
        <is>
          <t>Why shop here</t>
        </is>
      </c>
      <c r="F4" s="24" t="inlineStr">
        <is>
          <t>Price level</t>
        </is>
      </c>
    </row>
    <row r="5" ht="20" customHeight="1">
      <c r="A5" s="106" t="inlineStr">
        <is>
          <t>AF</t>
        </is>
      </c>
      <c r="B5" s="75" t="inlineStr">
        <is>
          <t>Adafruit</t>
        </is>
      </c>
      <c r="C5" s="12" t="inlineStr">
        <is>
          <t>adafruit.com</t>
        </is>
      </c>
      <c r="D5" s="12" t="inlineStr">
        <is>
          <t>USA</t>
        </is>
      </c>
      <c r="E5" s="12" t="inlineStr">
        <is>
          <t>Top-tier docs &amp; libraries, STEMMA QT plug-and-play, beginner heaven</t>
        </is>
      </c>
      <c r="F5" s="29" t="inlineStr">
        <is>
          <t>$$$</t>
        </is>
      </c>
    </row>
    <row r="6" ht="20" customHeight="1">
      <c r="A6" s="106" t="inlineStr">
        <is>
          <t>SF</t>
        </is>
      </c>
      <c r="B6" s="75" t="inlineStr">
        <is>
          <t>SparkFun</t>
        </is>
      </c>
      <c r="C6" s="12" t="inlineStr">
        <is>
          <t>sparkfun.com</t>
        </is>
      </c>
      <c r="D6" s="12" t="inlineStr">
        <is>
          <t>USA</t>
        </is>
      </c>
      <c r="E6" s="12" t="inlineStr">
        <is>
          <t>Qwiic ecosystem, great hookup guides, quality breakouts</t>
        </is>
      </c>
      <c r="F6" s="29" t="inlineStr">
        <is>
          <t>$$$</t>
        </is>
      </c>
    </row>
    <row r="7" ht="20" customHeight="1">
      <c r="A7" s="106" t="inlineStr">
        <is>
          <t>DK</t>
        </is>
      </c>
      <c r="B7" s="75" t="inlineStr">
        <is>
          <t>DigiKey</t>
        </is>
      </c>
      <c r="C7" s="12" t="inlineStr">
        <is>
          <t>digikey.com</t>
        </is>
      </c>
      <c r="D7" s="12" t="inlineStr">
        <is>
          <t>Global</t>
        </is>
      </c>
      <c r="E7" s="12" t="inlineStr">
        <is>
          <t>Everything that exists, genuine parts, fast worldwide shipping</t>
        </is>
      </c>
      <c r="F7" s="29" t="inlineStr">
        <is>
          <t>$$</t>
        </is>
      </c>
    </row>
    <row r="8" ht="20" customHeight="1">
      <c r="A8" s="106" t="inlineStr">
        <is>
          <t>MO</t>
        </is>
      </c>
      <c r="B8" s="75" t="inlineStr">
        <is>
          <t>Mouser</t>
        </is>
      </c>
      <c r="C8" s="12" t="inlineStr">
        <is>
          <t>mouser.com</t>
        </is>
      </c>
      <c r="D8" s="12" t="inlineStr">
        <is>
          <t>Global</t>
        </is>
      </c>
      <c r="E8" s="12" t="inlineStr">
        <is>
          <t>DigiKey's twin — genuine components, deep industrial catalog</t>
        </is>
      </c>
      <c r="F8" s="29" t="inlineStr">
        <is>
          <t>$$</t>
        </is>
      </c>
    </row>
    <row r="9" ht="20" customHeight="1">
      <c r="A9" s="106" t="inlineStr">
        <is>
          <t>AE</t>
        </is>
      </c>
      <c r="B9" s="75" t="inlineStr">
        <is>
          <t>AliExpress</t>
        </is>
      </c>
      <c r="C9" s="12" t="inlineStr">
        <is>
          <t>aliexpress.com</t>
        </is>
      </c>
      <c r="D9" s="12" t="inlineStr">
        <is>
          <t>Global (CN)</t>
        </is>
      </c>
      <c r="E9" s="12" t="inlineStr">
        <is>
          <t>Cheapest by far; 2-4 week shipping; quality lottery — buy 2-3 of everything</t>
        </is>
      </c>
      <c r="F9" s="29" t="inlineStr">
        <is>
          <t>$</t>
        </is>
      </c>
    </row>
    <row r="10" ht="20" customHeight="1">
      <c r="A10" s="106" t="inlineStr">
        <is>
          <t>AMZ</t>
        </is>
      </c>
      <c r="B10" s="75" t="inlineStr">
        <is>
          <t>Amazon</t>
        </is>
      </c>
      <c r="C10" s="12" t="inlineStr">
        <is>
          <t>amazon.*</t>
        </is>
      </c>
      <c r="D10" s="12" t="inlineStr">
        <is>
          <t>Regional</t>
        </is>
      </c>
      <c r="E10" s="12" t="inlineStr">
        <is>
          <t>Fast shipping of AliExpress-grade goods at 2-3x the price</t>
        </is>
      </c>
      <c r="F10" s="29" t="inlineStr">
        <is>
          <t>$$</t>
        </is>
      </c>
    </row>
    <row r="11" ht="20" customHeight="1">
      <c r="A11" s="106" t="inlineStr">
        <is>
          <t>SS</t>
        </is>
      </c>
      <c r="B11" s="75" t="inlineStr">
        <is>
          <t>Seeed Studio</t>
        </is>
      </c>
      <c r="C11" s="12" t="inlineStr">
        <is>
          <t>seeedstudio.com</t>
        </is>
      </c>
      <c r="D11" s="12" t="inlineStr">
        <is>
          <t>CN/Global</t>
        </is>
      </c>
      <c r="E11" s="12" t="inlineStr">
        <is>
          <t>Grove connector ecosystem, XIAO boards, unusual modules</t>
        </is>
      </c>
      <c r="F11" s="29" t="inlineStr">
        <is>
          <t>$$</t>
        </is>
      </c>
    </row>
    <row r="12" ht="20" customHeight="1">
      <c r="A12" s="106" t="inlineStr">
        <is>
          <t>DFR</t>
        </is>
      </c>
      <c r="B12" s="75" t="inlineStr">
        <is>
          <t>DFRobot</t>
        </is>
      </c>
      <c r="C12" s="12" t="inlineStr">
        <is>
          <t>dfrobot.com</t>
        </is>
      </c>
      <c r="D12" s="12" t="inlineStr">
        <is>
          <t>CN/Global</t>
        </is>
      </c>
      <c r="E12" s="12" t="inlineStr">
        <is>
          <t>Gravity ecosystem, strong sensor variety (water/soil/gas), good wikis</t>
        </is>
      </c>
      <c r="F12" s="29" t="inlineStr">
        <is>
          <t>$$</t>
        </is>
      </c>
    </row>
    <row r="13" ht="20" customHeight="1">
      <c r="A13" s="106" t="inlineStr">
        <is>
          <t>PI</t>
        </is>
      </c>
      <c r="B13" s="75" t="inlineStr">
        <is>
          <t>Pimoroni</t>
        </is>
      </c>
      <c r="C13" s="12" t="inlineStr">
        <is>
          <t>pimoroni.com</t>
        </is>
      </c>
      <c r="D13" s="12" t="inlineStr">
        <is>
          <t>UK/EU</t>
        </is>
      </c>
      <c r="E13" s="12" t="inlineStr">
        <is>
          <t>Lovely breakouts (Breakout Garden), EU-friendly shipping</t>
        </is>
      </c>
      <c r="F13" s="29" t="inlineStr">
        <is>
          <t>$$$</t>
        </is>
      </c>
    </row>
    <row r="14" ht="20" customHeight="1">
      <c r="A14" s="106" t="inlineStr">
        <is>
          <t>CE</t>
        </is>
      </c>
      <c r="B14" s="75" t="inlineStr">
        <is>
          <t>Core Electronics</t>
        </is>
      </c>
      <c r="C14" s="12" t="inlineStr">
        <is>
          <t>core-electronics.com.au</t>
        </is>
      </c>
      <c r="D14" s="12" t="inlineStr">
        <is>
          <t>Australia</t>
        </is>
      </c>
      <c r="E14" s="12" t="inlineStr">
        <is>
          <t>AU/NZ local stock of Adafruit/SparkFun lines</t>
        </is>
      </c>
      <c r="F14" s="29" t="inlineStr">
        <is>
          <t>$$$</t>
        </is>
      </c>
    </row>
    <row r="15" ht="20" customHeight="1">
      <c r="A15" s="106" t="inlineStr">
        <is>
          <t>AT</t>
        </is>
      </c>
      <c r="B15" s="75" t="inlineStr">
        <is>
          <t>Atlas Scientific</t>
        </is>
      </c>
      <c r="C15" s="12" t="inlineStr">
        <is>
          <t>atlas-scientific.com</t>
        </is>
      </c>
      <c r="D15" s="12" t="inlineStr">
        <is>
          <t>USA</t>
        </is>
      </c>
      <c r="E15" s="12" t="inlineStr">
        <is>
          <t>Lab-grade water chemistry (pH/EC/DO/ORP) — the serious option</t>
        </is>
      </c>
      <c r="F15" s="29" t="inlineStr">
        <is>
          <t>$$$$</t>
        </is>
      </c>
    </row>
    <row r="16" ht="20" customHeight="1">
      <c r="A16" s="106" t="inlineStr">
        <is>
          <t>MX</t>
        </is>
      </c>
      <c r="B16" s="75" t="inlineStr">
        <is>
          <t>MaxBotix</t>
        </is>
      </c>
      <c r="C16" s="12" t="inlineStr">
        <is>
          <t>maxbotix.com</t>
        </is>
      </c>
      <c r="D16" s="12" t="inlineStr">
        <is>
          <t>USA</t>
        </is>
      </c>
      <c r="E16" s="12" t="inlineStr">
        <is>
          <t>Industrial ultrasonic rangefinders that survive outdoors</t>
        </is>
      </c>
      <c r="F16" s="29" t="inlineStr">
        <is>
          <t>$$$$</t>
        </is>
      </c>
    </row>
    <row r="17" ht="20" customHeight="1">
      <c r="A17" s="106" t="inlineStr">
        <is>
          <t>MIL</t>
        </is>
      </c>
      <c r="B17" s="75" t="inlineStr">
        <is>
          <t>Milone Tech</t>
        </is>
      </c>
      <c r="C17" s="12" t="inlineStr">
        <is>
          <t>milonetech.com</t>
        </is>
      </c>
      <c r="D17" s="12" t="inlineStr">
        <is>
          <t>USA</t>
        </is>
      </c>
      <c r="E17" s="12" t="inlineStr">
        <is>
          <t>eTape liquid level inventors</t>
        </is>
      </c>
      <c r="F17" s="29" t="inlineStr">
        <is>
          <t>$$$</t>
        </is>
      </c>
    </row>
    <row r="18" ht="20" customHeight="1">
      <c r="A18" s="106" t="inlineStr">
        <is>
          <t>GR</t>
        </is>
      </c>
      <c r="B18" s="75" t="inlineStr">
        <is>
          <t>GroupGets</t>
        </is>
      </c>
      <c r="C18" s="12" t="inlineStr">
        <is>
          <t>groupgets.com</t>
        </is>
      </c>
      <c r="D18" s="12" t="inlineStr">
        <is>
          <t>USA</t>
        </is>
      </c>
      <c r="E18" s="12" t="inlineStr">
        <is>
          <t>FLIR Lepton carriers &amp; group buys of exotic parts</t>
        </is>
      </c>
      <c r="F18" s="29" t="inlineStr">
        <is>
          <t>$$$$</t>
        </is>
      </c>
    </row>
    <row r="19" ht="20" customHeight="1">
      <c r="A19" s="106" t="inlineStr">
        <is>
          <t>BL</t>
        </is>
      </c>
      <c r="B19" s="75" t="inlineStr">
        <is>
          <t>Bela</t>
        </is>
      </c>
      <c r="C19" s="12" t="inlineStr">
        <is>
          <t>bela.io / shop</t>
        </is>
      </c>
      <c r="D19" s="12" t="inlineStr">
        <is>
          <t>UK</t>
        </is>
      </c>
      <c r="E19" s="12" t="inlineStr">
        <is>
          <t>Trill touch sensors, audio-grade maker hardware</t>
        </is>
      </c>
      <c r="F19" s="29" t="inlineStr">
        <is>
          <t>$$$</t>
        </is>
      </c>
    </row>
    <row r="20" ht="20" customHeight="1">
      <c r="A20" s="106" t="inlineStr">
        <is>
          <t>UDL</t>
        </is>
      </c>
      <c r="B20" s="75" t="inlineStr">
        <is>
          <t>Upside Down Labs</t>
        </is>
      </c>
      <c r="C20" s="12" t="inlineStr">
        <is>
          <t>upsidedownlabs.tech</t>
        </is>
      </c>
      <c r="D20" s="12" t="inlineStr">
        <is>
          <t>India/Global</t>
        </is>
      </c>
      <c r="E20" s="12" t="inlineStr">
        <is>
          <t>Open-source biosignal (EXG) hardware</t>
        </is>
      </c>
      <c r="F20" s="29" t="inlineStr">
        <is>
          <t>$$</t>
        </is>
      </c>
    </row>
    <row r="21" ht="20" customHeight="1">
      <c r="A21" s="106" t="inlineStr">
        <is>
          <t>PC</t>
        </is>
      </c>
      <c r="B21" s="75" t="inlineStr">
        <is>
          <t>ProtoCentral</t>
        </is>
      </c>
      <c r="C21" s="12" t="inlineStr">
        <is>
          <t>protocentral.com</t>
        </is>
      </c>
      <c r="D21" s="12" t="inlineStr">
        <is>
          <t>India/Global</t>
        </is>
      </c>
      <c r="E21" s="12" t="inlineStr">
        <is>
          <t>Open-source health-sensing boards (ECG, PPG, vitals)</t>
        </is>
      </c>
      <c r="F21" s="29" t="inlineStr">
        <is>
          <t>$$$</t>
        </is>
      </c>
    </row>
    <row r="22" ht="20" customHeight="1">
      <c r="A22" s="106" t="inlineStr">
        <is>
          <t>AP</t>
        </is>
      </c>
      <c r="B22" s="75" t="inlineStr">
        <is>
          <t>Apogee Instruments</t>
        </is>
      </c>
      <c r="C22" s="12" t="inlineStr">
        <is>
          <t>apogeeinstruments.com</t>
        </is>
      </c>
      <c r="D22" s="12" t="inlineStr">
        <is>
          <t>USA</t>
        </is>
      </c>
      <c r="E22" s="12" t="inlineStr">
        <is>
          <t>Research-grade radiation/light sensors (pyranometers, quantum)</t>
        </is>
      </c>
      <c r="F22" s="29" t="inlineStr">
        <is>
          <t>$$$$</t>
        </is>
      </c>
    </row>
    <row r="23" ht="20" customHeight="1">
      <c r="A23" s="106" t="inlineStr">
        <is>
          <t>IRR</t>
        </is>
      </c>
      <c r="B23" s="75" t="inlineStr">
        <is>
          <t>Irrometer</t>
        </is>
      </c>
      <c r="C23" s="12" t="inlineStr">
        <is>
          <t>irrometer.com</t>
        </is>
      </c>
      <c r="D23" s="12" t="inlineStr">
        <is>
          <t>USA</t>
        </is>
      </c>
      <c r="E23" s="12" t="inlineStr">
        <is>
          <t>Watermark soil tension sensors — the agriculture standard</t>
        </is>
      </c>
      <c r="F23" s="29" t="inlineStr">
        <is>
          <t>$$$</t>
        </is>
      </c>
    </row>
    <row r="24" ht="20" customHeight="1">
      <c r="A24" s="106" t="inlineStr">
        <is>
          <t>VER</t>
        </is>
      </c>
      <c r="B24" s="75" t="inlineStr">
        <is>
          <t>Vernier</t>
        </is>
      </c>
      <c r="C24" s="12" t="inlineStr">
        <is>
          <t>vernier.com</t>
        </is>
      </c>
      <c r="D24" s="12" t="inlineStr">
        <is>
          <t>USA</t>
        </is>
      </c>
      <c r="E24" s="12" t="inlineStr">
        <is>
          <t>Education lab probes (ISE, optical DO) — pricey, bulletproof</t>
        </is>
      </c>
      <c r="F24" s="29" t="inlineStr">
        <is>
          <t>$$$$</t>
        </is>
      </c>
    </row>
    <row r="25" ht="20" customHeight="1">
      <c r="A25" s="106" t="inlineStr">
        <is>
          <t>TIN</t>
        </is>
      </c>
      <c r="B25" s="75" t="inlineStr">
        <is>
          <t>Tindie</t>
        </is>
      </c>
      <c r="C25" s="12" t="inlineStr">
        <is>
          <t>tindie.com</t>
        </is>
      </c>
      <c r="D25" s="12" t="inlineStr">
        <is>
          <t>Global</t>
        </is>
      </c>
      <c r="E25" s="12" t="inlineStr">
        <is>
          <t>Indie maker hardware — unique sensors you'll find nowhere else</t>
        </is>
      </c>
      <c r="F25" s="29" t="inlineStr">
        <is>
          <t>$$</t>
        </is>
      </c>
    </row>
    <row r="26" ht="20" customHeight="1">
      <c r="A26" s="106" t="inlineStr">
        <is>
          <t>IK</t>
        </is>
      </c>
      <c r="B26" s="75" t="inlineStr">
        <is>
          <t>IKEA</t>
        </is>
      </c>
      <c r="C26" s="12" t="inlineStr">
        <is>
          <t>ikea.com</t>
        </is>
      </c>
      <c r="D26" s="12" t="inlineStr">
        <is>
          <t>Global</t>
        </is>
      </c>
      <c r="E26" s="12" t="inlineStr">
        <is>
          <t>Hackable consumer devices (VINDRIKTNING etc.)</t>
        </is>
      </c>
      <c r="F26" s="29" t="inlineStr">
        <is>
          <t>$</t>
        </is>
      </c>
    </row>
    <row r="27" ht="20" customHeight="1">
      <c r="A27" s="106" t="inlineStr">
        <is>
          <t>PCB</t>
        </is>
      </c>
      <c r="B27" s="75" t="inlineStr">
        <is>
          <t>JLCPCB / PCBWay</t>
        </is>
      </c>
      <c r="C27" s="12" t="inlineStr">
        <is>
          <t>jlcpcb.com</t>
        </is>
      </c>
      <c r="D27" s="12" t="inlineStr">
        <is>
          <t>CN/Global</t>
        </is>
      </c>
      <c r="E27" s="12" t="inlineStr">
        <is>
          <t>Custom sensor PCBs — 5 boards for $10 in a week</t>
        </is>
      </c>
      <c r="F27" s="29" t="inlineStr">
        <is>
          <t>$</t>
        </is>
      </c>
    </row>
    <row r="28" ht="20" customHeight="1">
      <c r="A28" s="106" t="inlineStr">
        <is>
          <t>INC</t>
        </is>
      </c>
      <c r="B28" s="75" t="inlineStr">
        <is>
          <t>Already in your ESP32</t>
        </is>
      </c>
      <c r="C28" s="12" t="inlineStr">
        <is>
          <t>—</t>
        </is>
      </c>
      <c r="D28" s="12" t="inlineStr">
        <is>
          <t>Your parts bin</t>
        </is>
      </c>
      <c r="E28" s="12" t="inlineStr">
        <is>
          <t>No purchase needed — this capability is built into the SoC or the radio you already own</t>
        </is>
      </c>
      <c r="F28" s="29" t="inlineStr">
        <is>
          <t>$</t>
        </is>
      </c>
    </row>
    <row r="29" ht="20" customHeight="1">
      <c r="A29" s="106" t="inlineStr">
        <is>
          <t>DIY</t>
        </is>
      </c>
      <c r="B29" s="75" t="inlineStr">
        <is>
          <t>Self-build</t>
        </is>
      </c>
      <c r="C29" s="12" t="inlineStr">
        <is>
          <t>—</t>
        </is>
      </c>
      <c r="D29" s="12" t="inlineStr">
        <is>
          <t>Your bench</t>
        </is>
      </c>
      <c r="E29" s="12" t="inlineStr">
        <is>
          <t>Some of the best sensors are made, not bought</t>
        </is>
      </c>
      <c r="F29" s="29" t="inlineStr">
        <is>
          <t>$</t>
        </is>
      </c>
    </row>
    <row r="31" ht="24" customHeight="1">
      <c r="A31" s="6" t="inlineStr">
        <is>
          <t>SHOPPING WISDOM</t>
        </is>
      </c>
    </row>
    <row r="32" ht="78" customHeight="1">
      <c r="A32" s="7" t="inlineStr">
        <is>
          <t>The two-supply-chain strategy</t>
        </is>
      </c>
      <c r="B32" s="12" t="inlineStr">
        <is>
          <t>Prototype with Adafruit/SparkFun — the documentation and libraries are the product, and they work first time. Scale with AliExpress at a fifth of the price, a three-week wait and roughly a 10% dud rate. Order cheap parts in twos and threes.</t>
        </is>
      </c>
    </row>
    <row r="33" ht="80" customHeight="1">
      <c r="A33" s="7" t="inlineStr">
        <is>
          <t>Clone awareness</t>
        </is>
      </c>
      <c r="B33" s="12" t="inlineStr">
        <is>
          <t>Boards sold as BME280 frequently carry a BMP280 with no humidity sensor. Boards sold as HMC5883L are almost always QMC5883L, which needs a different library. MPU-9250s are widely remarked. Scan the bus and read the chip ID before trusting a label.</t>
        </is>
      </c>
    </row>
    <row r="34" ht="72" customHeight="1">
      <c r="A34" s="7" t="inlineStr">
        <is>
          <t>Connector ecosystems beat jumper wires</t>
        </is>
      </c>
      <c r="B34" s="12" t="inlineStr">
        <is>
          <t>Qwiic (SparkFun) and STEMMA QT (Adafruit) are the same 4-pin JST-SH I²C plug and are cross-compatible. Grove (Seeed) and Gravity (DFRobot) are their own. Pick one and prototyping becomes LEGO instead of a bird's nest.</t>
        </is>
      </c>
    </row>
    <row r="35" ht="58" customHeight="1">
      <c r="A35" s="7" t="inlineStr">
        <is>
          <t>The ADS1115 rule</t>
        </is>
      </c>
      <c r="B35" s="12" t="inlineStr">
        <is>
          <t>The ESP32's own ADC is its weakest organ — non-linear, noisy, and unusable on ADC2 while Wi-Fi is on. Any analog sensor you care about deserves a $3 ADS1115. Buy three.</t>
        </is>
      </c>
    </row>
    <row r="36" ht="83" customHeight="1">
      <c r="A36" s="7" t="inlineStr">
        <is>
          <t>Probes and cells are consumables</t>
        </is>
      </c>
      <c r="B36" s="12" t="inlineStr">
        <is>
          <t>pH probes last roughly a year, electrochemical gas cells one to two, DO membranes need servicing, PM laser diodes have a duty-cycle life. Budget for replacement like printer ink, and prefer optical or sealed alternatives for anything you want to forget about.</t>
        </is>
      </c>
    </row>
    <row r="37" ht="59" customHeight="1">
      <c r="A37" s="7" t="inlineStr">
        <is>
          <t>Calibration is the real purchase</t>
        </is>
      </c>
      <c r="B37" s="12" t="inlineStr">
        <is>
          <t>pH buffer sachets, a conductivity standard, a known mass, an ice bath, a reference thermometer. Fifteen dollars of references turns hobby numbers into data you can act on.</t>
        </is>
      </c>
    </row>
    <row r="38" ht="67" customHeight="1">
      <c r="A38" s="7" t="inlineStr">
        <is>
          <t>Buy the dev board first for exotic parts</t>
        </is>
      </c>
      <c r="B38" s="12" t="inlineStr">
        <is>
          <t>For UWB, radar, spectral and thermal parts, the vendor board with working example firmware costs maybe $10 more and saves a weekend of bring-up. Buy the bare module only once you know the part works.</t>
        </is>
      </c>
    </row>
  </sheetData>
  <mergeCells count="10">
    <mergeCell ref="A2:F2"/>
    <mergeCell ref="B38:F38"/>
    <mergeCell ref="B32:F32"/>
    <mergeCell ref="B34:F34"/>
    <mergeCell ref="B33:F33"/>
    <mergeCell ref="A31:F31"/>
    <mergeCell ref="B37:F37"/>
    <mergeCell ref="B36:F36"/>
    <mergeCell ref="A3:F3"/>
    <mergeCell ref="B35:F35"/>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88888"/>
    <outlinePr summaryBelow="1" summaryRight="1"/>
    <pageSetUpPr/>
  </sheetPr>
  <dimension ref="A1:V77"/>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0" customWidth="1" min="3" max="3"/>
    <col width="10" customWidth="1" min="4" max="4"/>
    <col width="24" customWidth="1" min="5" max="5"/>
    <col width="42" customWidth="1" min="6" max="6"/>
    <col width="52" customWidth="1" min="7" max="7"/>
    <col width="52" customWidth="1" min="8" max="8"/>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1" t="inlineStr">
        <is>
          <t>ESP32</t>
        </is>
      </c>
      <c r="V1" s="2" t="inlineStr">
        <is>
          <t>Provenance</t>
        </is>
      </c>
    </row>
    <row r="2" ht="32" customHeight="1">
      <c r="A2" s="3" t="inlineStr">
        <is>
          <t>⚡ ESP32 PLATFORM CAPABILITIES (v4 map, preserved)</t>
        </is>
      </c>
      <c r="B2" s="4" t="n"/>
      <c r="C2" s="4" t="n"/>
      <c r="D2" s="4" t="n"/>
      <c r="E2" s="4" t="n"/>
      <c r="F2" s="4" t="n"/>
      <c r="G2" s="4" t="n"/>
      <c r="H2" s="4" t="n"/>
    </row>
    <row r="3" ht="26" customHeight="1">
      <c r="A3" s="5" t="inlineStr">
        <is>
          <t>What the chip itself brings: buses, radios, power modes, security. Cross these with the sensor catalog — capability × sensor is the invention grid.</t>
        </is>
      </c>
    </row>
    <row r="4">
      <c r="A4" s="24" t="inlineStr">
        <is>
          <t>Domain</t>
        </is>
      </c>
      <c r="B4" s="24" t="inlineStr">
        <is>
          <t>Capability</t>
        </is>
      </c>
      <c r="C4" s="24" t="inlineStr">
        <is>
          <t>Status</t>
        </is>
      </c>
      <c r="D4" s="24" t="inlineStr">
        <is>
          <t>Tier</t>
        </is>
      </c>
      <c r="E4" s="24" t="inlineStr">
        <is>
          <t>Required hardware</t>
        </is>
      </c>
      <c r="F4" s="24" t="inlineStr">
        <is>
          <t>Common uses</t>
        </is>
      </c>
      <c r="G4" s="24" t="inlineStr">
        <is>
          <t>Novel combos &amp; invention sparks</t>
        </is>
      </c>
      <c r="H4" s="24" t="inlineStr">
        <is>
          <t>How it actually works</t>
        </is>
      </c>
    </row>
    <row r="5" ht="62" customHeight="1">
      <c r="A5" s="12" t="inlineStr">
        <is>
          <t>Silicon &amp; CPU</t>
        </is>
      </c>
      <c r="B5" s="75" t="inlineStr">
        <is>
          <t>Xtensa dual-core MCU</t>
        </is>
      </c>
      <c r="C5" s="107" t="inlineStr">
        <is>
          <t>Covered</t>
        </is>
      </c>
      <c r="D5" s="29" t="inlineStr">
        <is>
          <t>Frontier</t>
        </is>
      </c>
      <c r="E5" s="12" t="inlineStr">
        <is>
          <t>ESP32-WROOM-32E dev board</t>
        </is>
      </c>
      <c r="F5" s="12" t="inlineStr">
        <is>
          <t>Run parallel tasks — one core handles Wi-Fi/BLE comms while the other runs sensor fusion or motor control. Real-time OS scheduling for robotics, home automation hubs, industrial controllers.</t>
        </is>
      </c>
      <c r="G5" s="12" t="inlineStr">
        <is>
          <t>NOVEL COMBOS: Pair with I2S audio + TinyML to build a dual-core voice-activated controller where one core streams audio and the other runs wake-word inference in real time. Combine with CAN bus + thermal imaging for an autonomous vehicle safety node that processes thermal feeds on one core while managing vehicle bus comms on the other. INVENTION SPARK: A self-organizing swarm robot brain — one core manages ESP-NOW mesh coordination with neighbors, the other runs local obstacle avoidance via ultrasonic + IMU fusion.</t>
        </is>
      </c>
      <c r="H5" s="12" t="inlineStr">
        <is>
          <t>WHAT IT IS: The ESP32-WROOM-32E is a small thumb-sized circuit board module with two built-in processors ("cores") that can do two things at once — like patting your head and rubbing your belly. HOW IT CONNECTS: You plug it into a breadboard or solder it to a custom board. It has ~30 pins along the edges for connecting sensors, motors, screens, etc. Power it via USB cable from your computer (which also programs it). WHAT YOU DO: You write code on your computer in Arduino IDE or VS Code, click Upload, and it transfers to the chip via USB. The chip runs your code immediately and keeps running even after you unplug from the computer (just give it 3.3V-5V power). Think of it as a tiny computer brain that runs one program forever.</t>
        </is>
      </c>
    </row>
    <row r="6" ht="62" customHeight="1">
      <c r="A6" s="12" t="inlineStr">
        <is>
          <t>Silicon &amp; CPU</t>
        </is>
      </c>
      <c r="B6" s="75" t="inlineStr">
        <is>
          <t>RISC-V variants across family</t>
        </is>
      </c>
      <c r="C6" s="108" t="inlineStr">
        <is>
          <t>Gap</t>
        </is>
      </c>
      <c r="D6" s="29" t="inlineStr">
        <is>
          <t>Frontier</t>
        </is>
      </c>
      <c r="E6" s="12" t="inlineStr">
        <is>
          <t>ESP32-C3/C6/H2 dev boards</t>
        </is>
      </c>
      <c r="F6" s="12" t="inlineStr">
        <is>
          <t>Access the open RISC-V ISA for royalty-free, customizable processing — ideal for cost-sensitive mass production and academic/research prototyping.</t>
        </is>
      </c>
      <c r="G6" s="12" t="inlineStr">
        <is>
          <t>NOVEL COMBOS: Pair with Thread/Zigbee (C6/H2) + Matter protocol for next-gen smart home devices with open-source silicon. Combine with ULP coprocessor for ultra-efficient environmental monitoring nodes that run RISC-V main tasks and ULP sleep-state sensing. INVENTION SPARK: A fully open-source hardware+software agricultural drone brain — RISC-V core runs flight control, Thread mesh links field sensor nodes, and the open ISA lets researchers customize instruction sets for real-time crop analysis algorithms.</t>
        </is>
      </c>
      <c r="H6" s="12" t="inlineStr">
        <is>
          <t>WHAT IT IS: RISC-V is a different type of processor brain (like Intel vs ARM in laptops vs phones). The ESP32-C3, C6, and H2 boards use this newer, open-source brain design. 'Open-source' means nobody owns the design, so chips are cheaper. HOW IT CONNECTS: Identical to the standard ESP32 — same breadboard, same USB cable, same pin connections. The boards look almost the same physically. WHAT YOU DO: You program them exactly the same way (Arduino IDE / ESP-IDF). The difference is under the hood: C3 = single core + Wi-Fi + BLE (cheapest), C6 = adds Thread/Zigbee radio (smart home), H2 = Thread/Zigbee only (no Wi-Fi, ultra-cheap mesh node). Pick based on what radios you need.</t>
        </is>
      </c>
    </row>
    <row r="7" ht="62" customHeight="1">
      <c r="A7" s="12" t="inlineStr">
        <is>
          <t>Silicon &amp; CPU</t>
        </is>
      </c>
      <c r="B7" s="75" t="inlineStr">
        <is>
          <t>Single-core low-power variants</t>
        </is>
      </c>
      <c r="C7" s="108" t="inlineStr">
        <is>
          <t>Gap</t>
        </is>
      </c>
      <c r="D7" s="29" t="inlineStr">
        <is>
          <t>Strategic</t>
        </is>
      </c>
      <c r="E7" s="12" t="inlineStr">
        <is>
          <t>ESP32-C3 dev board</t>
        </is>
      </c>
      <c r="F7" s="12" t="inlineStr">
        <is>
          <t>Minimal-power IoT endpoints — battery-operated door sensors, water leak detectors, remote weather stations that wake, transmit, and sleep.</t>
        </is>
      </c>
      <c r="G7" s="12" t="inlineStr">
        <is>
          <t>NOVEL COMBOS: Pair with solar-assisted power + LoRa for years-long autonomous environmental monitoring in remote locations. Combine with capacitive touch for a minimal-power interactive label or smart packaging device. INVENTION SPARK: A disposable smart bandage — single-core C3 with BLE, body-temp sensor, and printed battery that monitors wound healing and alerts a phone app, cheap enough to be single-use medical IoT.</t>
        </is>
      </c>
      <c r="H7" s="12" t="inlineStr">
        <is>
          <t>WHAT IT IS: The ESP32-C3 is a simpler, cheaper version with just one processor core instead of two. It's smaller, uses less power, and costs less (~$3 vs $5). HOW IT CONNECTS: Same as any ESP32 — breadboard + USB cable. Fewer pins than the full ESP32 but still has Wi-Fi, BLE, and plenty of IO for simple projects. WHAT YOU DO: Perfect for simple jobs: read one sensor, send data, go to sleep. It can't multitask as well as the dual-core, but for battery-powered devices that only do one thing at a time (check temperature, transmit, sleep), it's ideal. Program it the same way — Arduino IDE, upload via USB.</t>
        </is>
      </c>
    </row>
    <row r="8" ht="62" customHeight="1">
      <c r="A8" s="12" t="inlineStr">
        <is>
          <t>Silicon &amp; CPU</t>
        </is>
      </c>
      <c r="B8" s="75" t="inlineStr">
        <is>
          <t>Vector/DSP acceleration on S3</t>
        </is>
      </c>
      <c r="C8" s="107" t="inlineStr">
        <is>
          <t>Covered</t>
        </is>
      </c>
      <c r="D8" s="29" t="inlineStr">
        <is>
          <t>Frontier</t>
        </is>
      </c>
      <c r="E8" s="12" t="inlineStr">
        <is>
          <t>ESP32-S3 dev board</t>
        </is>
      </c>
      <c r="F8" s="12" t="inlineStr">
        <is>
          <t>Accelerate audio/image DSP tasks — real-time FFT for audio spectrum analysis, image preprocessing for camera pipelines, voice feature extraction for ML.</t>
        </is>
      </c>
      <c r="G8" s="12" t="inlineStr">
        <is>
          <t>NOVEL COMBOS: Pair with ESP32-CAM + TinyML for on-device visual inspection in manufacturing QA without cloud dependency. Combine with I2S mic array + vector acceleration for real-time sound source localization. INVENTION SPARK: A portable acoustic holography device — S3 vector unit processes multi-mic array data to create 3D sound field maps, visualized on a local TFT display, for detecting structural faults in walls, pipes, or machinery by their acoustic signatures.</t>
        </is>
      </c>
      <c r="H8" s="12" t="inlineStr">
        <is>
          <t>WHAT IT IS: The ESP32-S3 has extra math hardware built into its processor specifically for crunching numbers fast — especially the kind of math needed for processing audio signals and running AI models. Think of it as the same brain but with a built-in calculator. HOW IT CONNECTS: Same form factor — breadboard + USB. The S3 also has a USB port built into the chip itself (no separate USB-to-serial chip needed), which makes boards simpler and cheaper. WHAT YOU DO: You write the same code, but certain math operations (Fast Fourier Transforms for audio, matrix multiplications for AI) run 3-10x faster than on a regular ESP32. You don't need to do anything special — the compiler automatically uses the fast math hardware.</t>
        </is>
      </c>
    </row>
    <row r="9" ht="62" customHeight="1">
      <c r="A9" s="12" t="inlineStr">
        <is>
          <t>Silicon &amp; CPU</t>
        </is>
      </c>
      <c r="B9" s="75" t="inlineStr">
        <is>
          <t>ULP coprocessor / always-on logic</t>
        </is>
      </c>
      <c r="C9" s="108" t="inlineStr">
        <is>
          <t>Gap</t>
        </is>
      </c>
      <c r="D9" s="29" t="inlineStr">
        <is>
          <t>Frontier</t>
        </is>
      </c>
      <c r="E9" s="12" t="inlineStr">
        <is>
          <t>ESP32 or ESP32-S3 dev board</t>
        </is>
      </c>
      <c r="F9" s="12" t="inlineStr">
        <is>
          <t>Ultra-low-power background monitoring — the ULP runs at microamps, polling sensors (temperature, humidity, motion) while the main cores sleep, only waking them when thresholds are crossed.</t>
        </is>
      </c>
      <c r="G9" s="12" t="inlineStr">
        <is>
          <t>NOVEL COMBOS: Pair with capacitive touch + deep sleep for a touch-sensitive device that draws near-zero power until human contact is detected. Combine with ADC + energy metering for always-on power quality monitoring that only alerts the main system on anomalies. INVENTION SPARK: A building structural health monitor — ULP continuously samples vibration/strain sensors at microamp levels, running simple threshold detection 24/7 for years on a coin cell, waking the main core + LoRa radio only when seismic or structural anomaly patterns emerge.</t>
        </is>
      </c>
      <c r="H9" s="12" t="inlineStr">
        <is>
          <t>WHAT IT IS: A tiny secondary processor inside the ESP32 that uses almost no power (millionths of an amp). While the main processors sleep to save battery, this little helper stays awake and watches sensors. Think of it as a security guard who stays awake while everyone else sleeps. HOW IT CONNECTS: It's already inside the ESP32 chip — no extra hardware needed. It can read the same sensor pins (ADC, touch, GPIO) as the main processor. WHAT YOU DO: You write a small, separate program for the ULP in a simplified language. This program runs in a loop — e.g., 'check the temperature sensor every 10 seconds. If it's above 30°C, wake up the main processor.' The main ESP32 cores sleep in deep sleep (~10μA), and the ULP wakes them only when something important happens.</t>
        </is>
      </c>
    </row>
    <row r="10" ht="62" customHeight="1">
      <c r="A10" s="12" t="inlineStr">
        <is>
          <t>Silicon &amp; CPU</t>
        </is>
      </c>
      <c r="B10" s="75" t="inlineStr">
        <is>
          <t>Deterministic real-time control</t>
        </is>
      </c>
      <c r="C10" s="107" t="inlineStr">
        <is>
          <t>Covered</t>
        </is>
      </c>
      <c r="D10" s="29" t="inlineStr">
        <is>
          <t>Frontier</t>
        </is>
      </c>
      <c r="E10" s="12" t="inlineStr">
        <is>
          <t>ESP32 DevKitC + RTOS toolchain</t>
        </is>
      </c>
      <c r="F10" s="12" t="inlineStr">
        <is>
          <t>Precise timing-critical applications — motor commutation, PID control loops, CNC step generation, precise signal sampling, robotic servo coordination with guaranteed microsecond response.</t>
        </is>
      </c>
      <c r="G10" s="12" t="inlineStr">
        <is>
          <t>NOVEL COMBOS: Pair with CAN bus + PWM for industrial robotic arm joint controllers with deterministic multi-axis coordination. Combine with ADC + interrupt-driven events for high-speed data acquisition systems that never miss a sample. INVENTION SPARK: A real-time laser engraver controller — deterministic RTOS tasks drive galvo mirrors via DAC/PWM with exact microsecond timing, while another task streams pattern data over Wi-Fi, achieving professional engraving quality from a $10 MCU.</t>
        </is>
      </c>
      <c r="H10" s="12" t="inlineStr">
        <is>
          <t>WHAT IT IS: 'Deterministic' means the chip guarantees it will respond within an exact, predictable time — no delays, no 'hang on a second'. The ESP32 runs FreeRTOS, a real-time operating system that schedules tasks with precise timing. HOW IT CONNECTS: It's a software capability of the standard ESP32 DevKitC board — no extra hardware. You just need the ESP-IDF development framework (Espressif's official SDK) rather than Arduino for the most precise control. WHAT YOU DO: You create 'tasks' with priorities. A high-priority task (like controlling a motor) will ALWAYS interrupt lower-priority tasks (like updating a web page) within microseconds. This matters when timing is critical — a motor that hesitates for even 1ms could break something.</t>
        </is>
      </c>
    </row>
    <row r="11" ht="62" customHeight="1">
      <c r="A11" s="12" t="inlineStr">
        <is>
          <t>Memory &amp; Storage</t>
        </is>
      </c>
      <c r="B11" s="75" t="inlineStr">
        <is>
          <t>External PSRAM support</t>
        </is>
      </c>
      <c r="C11" s="107" t="inlineStr">
        <is>
          <t>Covered</t>
        </is>
      </c>
      <c r="D11" s="29" t="inlineStr">
        <is>
          <t>Strategic</t>
        </is>
      </c>
      <c r="E11" s="12" t="inlineStr">
        <is>
          <t>ESP32-WROVER or ESP32-S3 with PSRAM</t>
        </is>
      </c>
      <c r="F11" s="12" t="inlineStr">
        <is>
          <t>Expand RAM for image buffers, audio streams, web server assets, and ML model weights that exceed internal SRAM. Essential for camera applications, display framebuffers, and large data processing.</t>
        </is>
      </c>
      <c r="G11" s="12" t="inlineStr">
        <is>
          <t>NOVEL COMBOS: Pair with ESP32-CAM + TinyML for running larger neural network models on-device with image classification buffers in PSRAM. Combine with audio I2S + DSP for multi-second audio buffering enabling real-time speech recognition pipelines. INVENTION SPARK: A portable AI art generator — S3 with PSRAM holds a generative model that creates unique visual patterns on an ePaper display based on environmental sensor inputs (sound, temperature, light), making each device produce one-of-a-kind ambient art.</t>
        </is>
      </c>
      <c r="H11" s="12" t="inlineStr">
        <is>
          <t>WHAT IT IS: PSRAM = extra RAM (working memory) on a separate chip soldered next to the ESP32. Standard ESP32 has ~520KB of RAM (not much). PSRAM adds 2-8MB — enough to hold a photo in memory or run an AI model. The WROVER module and S3 boards come with it pre-installed. HOW IT CONNECTS: Already soldered on the board — no wiring needed. You just buy the right module (look for 'WROVER' or 'S3 with PSRAM' in the product name). WHAT YOU DO: In your code, you tell the system to use PSRAM for big data: `heap_caps_malloc(size, MALLOC_CAP_SPIRAM)`. Or in Arduino, just enable PSRAM in the board settings. Then you can store camera images, audio buffers, or ML models that wouldn't fit in regular RAM.</t>
        </is>
      </c>
    </row>
    <row r="12" ht="62" customHeight="1">
      <c r="A12" s="12" t="inlineStr">
        <is>
          <t>Memory &amp; Storage</t>
        </is>
      </c>
      <c r="B12" s="75" t="inlineStr">
        <is>
          <t>QSPI flash / OTA partitions</t>
        </is>
      </c>
      <c r="C12" s="107" t="inlineStr">
        <is>
          <t>Covered</t>
        </is>
      </c>
      <c r="D12" s="29" t="inlineStr">
        <is>
          <t>Frontier</t>
        </is>
      </c>
      <c r="E12" s="12" t="inlineStr">
        <is>
          <t>ESP32 module with 8-16MB flash</t>
        </is>
      </c>
      <c r="F12" s="12" t="inlineStr">
        <is>
          <t>Firmware updates over-the-air without physical access, dual-partition boot for rollback safety, modular app deployment. High-speed flash for data logging, configuration storage, and web assets.</t>
        </is>
      </c>
      <c r="G12" s="12" t="inlineStr">
        <is>
          <t>NOVEL COMBOS: Pair with signed OTA + secure boot for tamper-proof field-deployed devices that self-update securely. Combine with device fleet observability for managed IoT networks where thousands of nodes update simultaneously. INVENTION SPARK: A self-evolving smart garden system — OTA partitions allow the garden controller to download new plant-care algorithms seasonally, while QSPI flash stores years of local microclimate data that the AI models learn from, getting smarter each growing cycle.</t>
        </is>
      </c>
      <c r="H12" s="12" t="inlineStr">
        <is>
          <t>WHAT IT IS: Flash memory is where your program and data are permanently stored (survives power off — like an SSD in your laptop). QSPI = 4 data wires instead of 1, making read/write 4x faster. OTA partitions = the flash is divided into two copies of your program, so you can update one while the other keeps running. HOW IT CONNECTS: Already built into every ESP32 module (4-16MB). No extra wiring. WHAT YOU DO: You flash your firmware via USB the first time. After that, your code can download new firmware from the internet (OTA = Over The Air) and install it into the backup partition. If the new firmware crashes, the chip auto-reboots into the old working copy. This means you can update devices remotely without physically touching them.</t>
        </is>
      </c>
    </row>
    <row r="13" ht="62" customHeight="1">
      <c r="A13" s="12" t="inlineStr">
        <is>
          <t>Memory &amp; Storage</t>
        </is>
      </c>
      <c r="B13" s="75" t="inlineStr">
        <is>
          <t>SD / microSD logging</t>
        </is>
      </c>
      <c r="C13" s="107" t="inlineStr">
        <is>
          <t>Covered</t>
        </is>
      </c>
      <c r="D13" s="29" t="inlineStr">
        <is>
          <t>Strategic</t>
        </is>
      </c>
      <c r="E13" s="12" t="inlineStr">
        <is>
          <t>microSD SPI breakout</t>
        </is>
      </c>
      <c r="F13" s="12" t="inlineStr">
        <is>
          <t>Log sensor data, GPS tracks, images, and audio to removable storage for field research, data loggers, dashcams, environmental recorders. Sneaker-net data transfer for offline environments.</t>
        </is>
      </c>
      <c r="G13" s="12" t="inlineStr">
        <is>
          <t>NOVEL COMBOS: Pair with ESP32-CAM + thermal imaging for a wildlife camera trap that stores timestamped visual+thermal data for species identification. Combine with GNSS + accelerometer for a ruggedized trail/vehicle black box recorder. INVENTION SPARK: A citizen science ocean drifter — solar-powered ESP32 with GPS, ocean temp/salinity sensors, and microSD logs months of oceanographic data as it drifts on currents, recovered by beachcombers who mail back the SD cards to researchers.</t>
        </is>
      </c>
      <c r="H13" s="12" t="inlineStr">
        <is>
          <t>WHAT IT IS: A microSD card reader — the same tiny cards from your phone/camera. Stores gigabytes of data (sensor logs, images, audio recordings) that the ESP32 can write and read. HOW IT CONNECTS: You buy a microSD breakout board (~$3) and connect 4 wires to the ESP32: MISO, MOSI, CLK, CS (these are SPI bus pins). The breakout board is a small PCB with a card slot. Plug the wires into specific ESP32 GPIO pins. WHAT YOU DO: In Arduino, you use the SD library: `SD.begin(CS_pin)` to initialize, then `File f = SD.open("data.csv", FILE_WRITE)` and `f.println(sensorValue)` to log data. It works just like writing a file on a computer. When you want the data, pop out the card and read it on any computer.</t>
        </is>
      </c>
    </row>
    <row r="14" ht="62" customHeight="1">
      <c r="A14" s="12" t="inlineStr">
        <is>
          <t>Memory &amp; Storage</t>
        </is>
      </c>
      <c r="B14" s="75" t="inlineStr">
        <is>
          <t>Wear-levelled NVS / config storage</t>
        </is>
      </c>
      <c r="C14" s="108" t="inlineStr">
        <is>
          <t>Gap</t>
        </is>
      </c>
      <c r="D14" s="29" t="inlineStr">
        <is>
          <t>Strategic</t>
        </is>
      </c>
      <c r="E14" s="12" t="inlineStr">
        <is>
          <t>ESP32 module + flash storage</t>
        </is>
      </c>
      <c r="F14" s="12" t="inlineStr">
        <is>
          <t>Store device configuration, Wi-Fi credentials, calibration data, and user preferences that survive reboots. Wear-levelling extends flash lifetime for frequently-updated counters and logs.</t>
        </is>
      </c>
      <c r="G14" s="12" t="inlineStr">
        <is>
          <t>NOVEL COMBOS: Pair with BLE + capacitive touch for a smart device that remembers per-user preferences and auto-configures when each user touches it. Combine with energy metering + deep sleep for a power monitor that accumulates lifetime energy statistics across thousands of sleep/wake cycles without data loss. INVENTION SPARK: A personal environment memory device — NVS stores your ideal comfort profile (temperature, light, humidity) and as you move between rooms equipped with ESP32 room nodes, your preferences follow you, auto-adjusting each space.</t>
        </is>
      </c>
      <c r="H14" s="12" t="inlineStr">
        <is>
          <t>WHAT IT IS: NVS = Non-Volatile Storage. A built-in key-value database inside the ESP32's flash memory. Think of it as a permanent notepad where you write "wifi_password = MyWifi123" and it remembers even after power off. 'Wear-levelling' spreads writes across the flash so no single spot wears out. HOW IT CONNECTS: Already inside every ESP32 — no hardware needed at all. It's a software feature. WHAT YOU DO: In code: `nvs_set_str(handle, "wifi_ssid", "MyNetwork")` to save, and `nvs_get_str(handle, "wifi_ssid", buffer, &amp;length)` to read back. Use it for: Wi-Fi passwords, device names, calibration numbers, user preferences, boot counters — anything small that needs to survive reboots. Maximum ~20KB of data (not for big files — use SD card for that).</t>
        </is>
      </c>
    </row>
    <row r="15" ht="62" customHeight="1">
      <c r="A15" s="12" t="inlineStr">
        <is>
          <t>Wireless Connectivity</t>
        </is>
      </c>
      <c r="B15" s="75" t="inlineStr">
        <is>
          <t>2.4GHz Wi-Fi STA</t>
        </is>
      </c>
      <c r="C15" s="107" t="inlineStr">
        <is>
          <t>Covered</t>
        </is>
      </c>
      <c r="D15" s="29" t="inlineStr">
        <is>
          <t>Frontier</t>
        </is>
      </c>
      <c r="E15" s="12" t="inlineStr">
        <is>
          <t>ESP32 DevKitC</t>
        </is>
      </c>
      <c r="F15" s="12" t="inlineStr">
        <is>
          <t>Connect to any standard Wi-Fi network for cloud data upload, remote monitoring dashboards, MQTT/HTTP telemetry, time sync via NTP, and firmware OTA updates. The backbone of most IoT deployments.</t>
        </is>
      </c>
      <c r="G15" s="12" t="inlineStr">
        <is>
          <t>NOVEL COMBOS: Pair with sensor fusion + MQTT for a whole-building environmental intelligence network pushing real-time air quality, occupancy, and energy data to cloud dashboards. Combine with TinyML + camera for edge-processed visual alerts sent over Wi-Fi only when anomalies are detected, saving bandwidth. INVENTION SPARK: A distributed earthquake early warning mesh — thousands of Wi-Fi-connected accelerometer nodes in homes detect P-waves and relay alerts to a cloud system that triangulates epicenters and pushes warnings seconds before shaking arrives.</t>
        </is>
      </c>
      <c r="H15" s="12" t="inlineStr">
        <is>
          <t>WHAT IT IS: Wi-Fi STA = Station mode = the ESP32 connects to your existing Wi-Fi router, just like your phone does. Once connected, it has internet access and can talk to cloud servers, websites, APIs, or other devices on your network. HOW IT CONNECTS: No extra hardware — the Wi-Fi antenna is built into every ESP32 module (the squiggly trace on the PCB). WHAT YOU DO: In code: `WiFi.begin("YourNetworkName", "YourPassword")`. Then use HTTP requests (`HTTPClient`), MQTT messages, or websockets to send/receive data. Example: read a temperature sensor and post the value to a Google Sheet or a dashboard like Grafana every 30 seconds.</t>
        </is>
      </c>
    </row>
    <row r="16" ht="62" customHeight="1">
      <c r="A16" s="12" t="inlineStr">
        <is>
          <t>Wireless Connectivity</t>
        </is>
      </c>
      <c r="B16" s="75" t="inlineStr">
        <is>
          <t>Wi-Fi AP / captive portal</t>
        </is>
      </c>
      <c r="C16" s="107" t="inlineStr">
        <is>
          <t>Covered</t>
        </is>
      </c>
      <c r="D16" s="29" t="inlineStr">
        <is>
          <t>Strategic</t>
        </is>
      </c>
      <c r="E16" s="12" t="inlineStr">
        <is>
          <t>ESP32 DevKitC</t>
        </is>
      </c>
      <c r="F16" s="12" t="inlineStr">
        <is>
          <t>Create standalone hotspots for device configuration, field setup portals, local sensor dashboards accessible from any phone/laptop without internet. Captive portals for user onboarding.</t>
        </is>
      </c>
      <c r="G16" s="12" t="inlineStr">
        <is>
          <t>NOVEL COMBOS: Pair with ePaper display + sensor hub for a self-contained weather station that hosts its own web dashboard — just connect your phone to its AP to view data. Combine with ESP-NOW mesh for a field network where one gateway node runs AP mode, aggregating data from mesh peers and serving a local dashboard. INVENTION SPARK: A disaster-response information kiosk — solar-powered ESP32 AP broadcasts a captive portal with cached emergency maps, shelter locations, and water-source data when all telecom infrastructure is down.</t>
        </is>
      </c>
      <c r="H16" s="12" t="inlineStr">
        <is>
          <t>WHAT IT IS: AP = Access Point mode = the ESP32 BECOMES its own Wi-Fi hotspot that phones/laptops can connect to. A captive portal is a web page that pops up automatically when you connect (like hotel Wi-Fi login pages). HOW IT CONNECTS: No extra hardware. The same built-in Wi-Fi antenna, just used in reverse — broadcasting instead of connecting. WHAT YOU DO: In code: `WiFi.softAP("ESP32-Setup", "password")`. Then run a tiny web server that serves an HTML page. When someone connects their phone to 'ESP32-Setup', a configuration page appears where they can enter their home Wi-Fi credentials, adjust settings, or view sensor data. Works anywhere — no internet needed.</t>
        </is>
      </c>
    </row>
    <row r="17" ht="62" customHeight="1">
      <c r="A17" s="12" t="inlineStr">
        <is>
          <t>Wireless Connectivity</t>
        </is>
      </c>
      <c r="B17" s="75" t="inlineStr">
        <is>
          <t>Bluetooth Classic</t>
        </is>
      </c>
      <c r="C17" s="107" t="inlineStr">
        <is>
          <t>Covered</t>
        </is>
      </c>
      <c r="D17" s="29" t="inlineStr">
        <is>
          <t>Strategic</t>
        </is>
      </c>
      <c r="E17" s="12" t="inlineStr">
        <is>
          <t>ESP32 DevKitC</t>
        </is>
      </c>
      <c r="F17" s="12" t="inlineStr">
        <is>
          <t>Stream audio to Bluetooth speakers/headphones, connect to legacy Bluetooth devices, serial-port-profile links to industrial equipment, file transfer to phones.</t>
        </is>
      </c>
      <c r="G17" s="12" t="inlineStr">
        <is>
          <t>NOVEL COMBOS: Pair with I2S audio + DAC for a Bluetooth audio receiver/transmitter that adds wireless audio to any legacy hi-fi system. Combine with CAN bus for a vehicle diagnostic tool that streams OBD-II data to a phone app via Bluetooth Classic SPP. INVENTION SPARK: A universal translator earpiece — ESP32 receives foreign speech via Bluetooth mic, runs on-device TinyML language detection, and streams translated audio back to a Bluetooth earpiece, all running on a coin-sized board.</t>
        </is>
      </c>
      <c r="H17" s="12" t="inlineStr">
        <is>
          <t>WHAT IT IS: The older, faster version of Bluetooth (before BLE existed). It can stream audio continuously and transfer files — things BLE can't do well. Same Bluetooth your car uses for phone calls and music. HOW IT CONNECTS: Built into the original ESP32 module (not the S2, C3, or C6). No extra hardware. WHAT YOU DO: Use the BluetoothSerial library: `SerialBT.begin("ESP32")` makes the ESP32 appear as a Bluetooth device on your phone. Then `SerialBT.println(data)` sends text to a phone app. For audio: use the A2DP library to stream music from the ESP32 to a Bluetooth speaker, or receive audio from a phone. SPP (Serial Port Profile) lets you send/receive data like a wireless serial cable.</t>
        </is>
      </c>
    </row>
    <row r="18" ht="62" customHeight="1">
      <c r="A18" s="12" t="inlineStr">
        <is>
          <t>Wireless Connectivity</t>
        </is>
      </c>
      <c r="B18" s="75" t="inlineStr">
        <is>
          <t>BLE peripheral / central</t>
        </is>
      </c>
      <c r="C18" s="107" t="inlineStr">
        <is>
          <t>Covered</t>
        </is>
      </c>
      <c r="D18" s="29" t="inlineStr">
        <is>
          <t>Frontier</t>
        </is>
      </c>
      <c r="E18" s="12" t="inlineStr">
        <is>
          <t>ESP32 / ESP32-S3 / C3 board</t>
        </is>
      </c>
      <c r="F18" s="12" t="inlineStr">
        <is>
          <t>Low-energy beacons for proximity detection, asset tracking tags, fitness wearable data sync, smart home device pairing, phone notification bridges. Indoor positioning via RSSI.</t>
        </is>
      </c>
      <c r="G18" s="12" t="inlineStr">
        <is>
          <t>NOVEL COMBOS: Pair with ULP coprocessor + deep sleep for BLE beacons that run for years on a coin cell battery. Combine with capacitive touch + NVS for personalized devices that recognize users via their phone's BLE signature and load saved preferences. INVENTION SPARK: A BLE emotion-aware space — wearable BLE nodes detect skin conductance/heart rate and broadcast anonymized stress levels; room nodes aggregate this to dynamically adjust lighting, music, and temperature for collective wellbeing in offices.</t>
        </is>
      </c>
      <c r="H18" s="12" t="inlineStr">
        <is>
          <t>WHAT IT IS: BLE = Bluetooth Low Energy. A modern, power-sipping version of Bluetooth designed for short bursts of data (not streaming). Your fitness band, Apple AirTags, and smart home sensors all use BLE. Uses ~100x less power than classic Bluetooth. HOW IT CONNECTS: Built into all ESP32 variants (original, S3, C3, C6, H2). No extra hardware. WHAT YOU DO: The ESP32 can be a 'peripheral' (like a sensor that broadcasts data) or a 'central' (like a phone that scans for and connects to peripherals). Example peripheral: broadcast temperature every second as a BLE beacon. Example central: scan for nearby BLE heart rate monitors and read their data. Range: ~10-30m indoors, ~100m outdoors.</t>
        </is>
      </c>
    </row>
    <row r="19" ht="62" customHeight="1">
      <c r="A19" s="12" t="inlineStr">
        <is>
          <t>Wireless Connectivity</t>
        </is>
      </c>
      <c r="B19" s="75" t="inlineStr">
        <is>
          <t>ESP-NOW low-latency mesh</t>
        </is>
      </c>
      <c r="C19" s="108" t="inlineStr">
        <is>
          <t>Gap</t>
        </is>
      </c>
      <c r="D19" s="29" t="inlineStr">
        <is>
          <t>Frontier</t>
        </is>
      </c>
      <c r="E19" s="12" t="inlineStr">
        <is>
          <t>2+ ESP32 boards</t>
        </is>
      </c>
      <c r="F19" s="12" t="inlineStr">
        <is>
          <t>Ultra-fast peer-to-peer communication between ESP32 devices without Wi-Fi infrastructure — remote controls, sensor relays, real-time multi-device synchronization, game controllers, drone swarms. Sub-millisecond latency with no router needed.</t>
        </is>
      </c>
      <c r="G19" s="12" t="inlineStr">
        <is>
          <t>NOVEL COMBOS: Pair with IMU sensor fusion + multiple nodes for a distributed motion capture system with sub-millisecond sync. Combine with thermal imaging + mesh for a forest fire detection grid where nodes share heat signatures peer-to-peer without infrastructure. INVENTION SPARK: A reactive architectural lighting swarm — hundreds of ESP-NOW nodes embedded in building surfaces synchronize light patterns with zero infrastructure, responding in real-time to sound, movement, and environmental data flowing through the mesh.</t>
        </is>
      </c>
      <c r="H19" s="12" t="inlineStr">
        <is>
          <t>WHAT IT IS: ESP-NOW is Espressif's custom wireless protocol that lets ESP32 boards talk directly to each other WITHOUT a Wi-Fi router. It's like walkie-talkies — device-to-device, instant, no infrastructure. Latency under 1 millisecond. Up to 20 peers per device. HOW IT CONNECTS: No extra hardware — uses the built-in Wi-Fi radio in a special mode. You need at least 2 ESP32 boards. WHAT YOU DO: On the sender: `esp_now_send(peerMAC, data, length)`. On the receiver: register a callback function that fires when data arrives. You pair devices using their MAC addresses (printed on each board or read via code). Range: ~200m outdoors, ~50m indoors. Great for remote controls, sensor relays, and robot swarms where you can't depend on Wi-Fi.</t>
        </is>
      </c>
    </row>
    <row r="20" ht="62" customHeight="1">
      <c r="A20" s="12" t="inlineStr">
        <is>
          <t>Wireless Connectivity</t>
        </is>
      </c>
      <c r="B20" s="75" t="inlineStr">
        <is>
          <t>802.15.4 / Zigbee / Thread</t>
        </is>
      </c>
      <c r="C20" s="107" t="inlineStr">
        <is>
          <t>Covered</t>
        </is>
      </c>
      <c r="D20" s="29" t="inlineStr">
        <is>
          <t>Frontier</t>
        </is>
      </c>
      <c r="E20" s="12" t="inlineStr">
        <is>
          <t>ESP32-C6 or ESP32-H2 dev board</t>
        </is>
      </c>
      <c r="F20" s="12" t="inlineStr">
        <is>
          <t>Smart home mesh networking via Zigbee/Thread — light switches, door locks, thermostats, occupancy sensors forming self-healing mesh networks. Low power, reliable, and standardized.</t>
        </is>
      </c>
      <c r="G20" s="12" t="inlineStr">
        <is>
          <t>NOVEL COMBOS: Pair with Matter protocol + Wi-Fi for a universal smart home bridge that translates between Thread, Zigbee, and Wi-Fi ecosystems. Combine with energy metering + Thread mesh for a distributed power monitoring network across a building with no Wi-Fi dependency. INVENTION SPARK: A self-organizing smart city infrastructure mesh — Thread-connected streetlight controllers that form autonomous mesh networks, adjusting brightness based on pedestrian presence, sharing traffic data peer-to-peer, and self-healing around node failures.</t>
        </is>
      </c>
      <c r="H20" s="12" t="inlineStr">
        <is>
          <t>WHAT IT IS: 802.15.4 is a low-power radio standard (different frequency/protocol than Wi-Fi). Zigbee and Thread are networks built on top of it. Thread is the newer one, designed for smart homes. These radios form 'mesh networks' where devices relay messages for each other, extending range. HOW IT CONNECTS: Only the ESP32-C6 and ESP32-H2 have this radio built in. Other ESP32s don't. Buy a C6 or H2 dev board. No extra hardware needed. WHAT YOU DO: Use the ESP-IDF Zigbee or Thread libraries. Devices auto-discover neighbors, form a mesh, and relay messages. If one device dies, traffic routes around it. Think of it as a self-healing web of devices. Used by IKEA, Philips Hue, and most modern smart home products.</t>
        </is>
      </c>
    </row>
    <row r="21" ht="62" customHeight="1">
      <c r="A21" s="12" t="inlineStr">
        <is>
          <t>Wireless Connectivity</t>
        </is>
      </c>
      <c r="B21" s="75" t="inlineStr">
        <is>
          <t>Matter over Thread / Wi‑Fi</t>
        </is>
      </c>
      <c r="C21" s="108" t="inlineStr">
        <is>
          <t>Gap</t>
        </is>
      </c>
      <c r="D21" s="29" t="inlineStr">
        <is>
          <t>Frontier</t>
        </is>
      </c>
      <c r="E21" s="12" t="inlineStr">
        <is>
          <t>ESP32-C6 dev board</t>
        </is>
      </c>
      <c r="F21" s="12" t="inlineStr">
        <is>
          <t>Unified smart home standard — Matter devices work with Apple HomeKit, Google Home, Amazon Alexa, and Samsung SmartThings simultaneously. One device, every ecosystem.</t>
        </is>
      </c>
      <c r="G21" s="12" t="inlineStr">
        <is>
          <t>NOVEL COMBOS: Pair with TinyML + room node for AI-powered occupancy detection that auto-controls any Matter-compatible device regardless of vendor. Combine with secure boot + signed OTA for enterprise-grade Matter devices with tamper-proof lifecycle management. INVENTION SPARK: A modular universal appliance brain — a Matter-over-Thread ESP32-C6 module that snaps into any dumb appliance (toaster, fan, heater) and instantly makes it controllable from any smart home platform, with local AI learning usage patterns.</t>
        </is>
      </c>
      <c r="H21" s="12" t="inlineStr">
        <is>
          <t>WHAT IT IS: Matter is a brand-new smart home standard backed by Apple, Google, Amazon, and Samsung. One Matter device works with ALL their ecosystems simultaneously. Thread and Wi-Fi are the transport layers (how data physically moves). Matter is the language spoken on top. HOW IT CONNECTS: Use an ESP32-C6 dev board (has both Wi-Fi and Thread radios). No extra hardware. WHAT YOU DO: Use the ESP-Matter SDK to build a device (e.g., a smart plug). Once commissioned via a QR code scan from any phone, it appears in Apple Home, Google Home, and Alexa apps simultaneously. Users control it from whichever platform they prefer. This is the future of smart home — no more 'works with Alexa but not HomeKit'.</t>
        </is>
      </c>
    </row>
    <row r="22" ht="62" customHeight="1">
      <c r="A22" s="12" t="inlineStr">
        <is>
          <t>Wireless Connectivity</t>
        </is>
      </c>
      <c r="B22" s="75" t="inlineStr">
        <is>
          <t>LoRa adjunct networking</t>
        </is>
      </c>
      <c r="C22" s="107" t="inlineStr">
        <is>
          <t>Covered</t>
        </is>
      </c>
      <c r="D22" s="29" t="inlineStr">
        <is>
          <t>Strategic</t>
        </is>
      </c>
      <c r="E22" s="12" t="inlineStr">
        <is>
          <t>ESP32 + SX1276/SX1262 module</t>
        </is>
      </c>
      <c r="F22" s="12" t="inlineStr">
        <is>
          <t>Long-range (2-15km) low-bandwidth communication for remote sensing — agricultural soil monitors, weather stations, wildlife trackers, rural water level sensors, all without cellular coverage.</t>
        </is>
      </c>
      <c r="G22" s="12" t="inlineStr">
        <is>
          <t>NOVEL COMBOS: Pair with solar power + deep sleep + GNSS for fully autonomous environmental sentinels that report data from wilderness locations for years. Combine with edge anomaly detection for smart nodes that only transmit LoRa alerts when something unusual happens, conserving airtime. INVENTION SPARK: A volcanic eruption predictor network — LoRa-linked seismic/gas/tilt sensors dotted around volcanic flanks, solar-powered, transmitting compressed anomaly signatures over 10km to a base station that fuses data for eruption forecasting.</t>
        </is>
      </c>
      <c r="H22" s="12" t="inlineStr">
        <is>
          <t>WHAT IT IS: LoRa = Long Range radio. Sends tiny amounts of data (like a text message) over HUGE distances: 2-15km in open areas, 1-5km in cities. Uses very little power. Perfect for remote sensors where Wi-Fi doesn't reach and cellular is too expensive. HOW IT CONNECTS: ESP32 doesn't have LoRa built in — you add a LoRa radio module (SX1276 or SX1262 chip on a small board). Connect via SPI: 4 wires (MISO, MOSI, CLK, CS) plus an interrupt pin. Ready-made boards like TTGO LoRa32 combine ESP32 + LoRa + display on one PCB. WHAT YOU DO: Use the RadioLib or LoRa library. `LoRa.begin(915E6)` sets the frequency, `LoRa.print("Hello")` sends a message. A LoRa gateway (receiver) far away picks it up and forwards to the internet. Think of it as a very slow, very long-range text message system for sensors.</t>
        </is>
      </c>
    </row>
    <row r="23" ht="62" customHeight="1">
      <c r="A23" s="12" t="inlineStr">
        <is>
          <t>Wireless Connectivity</t>
        </is>
      </c>
      <c r="B23" s="75" t="inlineStr">
        <is>
          <t>GNSS integration for field nodes</t>
        </is>
      </c>
      <c r="C23" s="107" t="inlineStr">
        <is>
          <t>Covered</t>
        </is>
      </c>
      <c r="D23" s="29" t="inlineStr">
        <is>
          <t>Strategic</t>
        </is>
      </c>
      <c r="E23" s="12" t="inlineStr">
        <is>
          <t>u-blox GNSS breakout</t>
        </is>
      </c>
      <c r="F23" s="12" t="inlineStr">
        <is>
          <t>GPS/GNSS positioning for asset tracking, fleet management, geofencing, outdoor navigation aids, timestamping field data with precise location, surveying tools.</t>
        </is>
      </c>
      <c r="G23" s="12" t="inlineStr">
        <is>
          <t>NOVEL COMBOS: Pair with LoRa + solar for self-powered GPS trackers that report positions from anywhere on Earth without cellular. Combine with IMU sensor fusion for dead-reckoning navigation that continues working when GPS signal is lost (tunnels, canyons, indoor). INVENTION SPARK: A global migration mapping collar — ESP32 + GNSS + LoRa + solar on a lightweight collar tracks bird/animal migration paths across continents, uploading position logs via LoRa gateways placed along known flyways.</t>
        </is>
      </c>
      <c r="H23" s="12" t="inlineStr">
        <is>
          <t>WHAT IT IS: GNSS = Global Navigation Satellite System (GPS is the American one; GNSS includes European, Russian, Chinese satellites too). A u-blox module is a small (~2cm) chip that receives satellite signals and calculates your exact position on Earth (latitude, longitude, altitude). Accuracy: 1-3 meters. HOW IT CONNECTS: Buy a u-blox breakout board (~$15-30, from SparkFun/Adafruit). Connect 4 wires: VCC (power), GND (ground), TX, RX (serial data — UART). The module needs a clear view of the sky (antenna pointing up). Some have a tiny ceramic antenna built in; for better reception, attach an external antenna. WHAT YOU DO: The module sends text strings called NMEA sentences every second via serial: `$GPGGA,123519,4807.038,N,01131.000,E,...`. Use the TinyGPS++ library to parse these into simple variables: `gps.location.lat()`, `gps.location.lng()`. Log positions + timestamps = you have a GPS tracker.</t>
        </is>
      </c>
    </row>
    <row r="24" ht="62" customHeight="1">
      <c r="A24" s="12" t="inlineStr">
        <is>
          <t>Wireless Connectivity</t>
        </is>
      </c>
      <c r="B24" s="75" t="inlineStr">
        <is>
          <t>UWB ranging integration</t>
        </is>
      </c>
      <c r="C24" s="108" t="inlineStr">
        <is>
          <t>Gap</t>
        </is>
      </c>
      <c r="D24" s="29" t="inlineStr">
        <is>
          <t>Frontier</t>
        </is>
      </c>
      <c r="E24" s="12" t="inlineStr">
        <is>
          <t>Qorvo DW3000 module + ESP32</t>
        </is>
      </c>
      <c r="F24" s="12" t="inlineStr">
        <is>
          <t>Centimeter-accurate indoor positioning and ranging — warehouse inventory robots, indoor navigation for the visually impaired, precision sports analytics, secure keyless entry via distance verification.</t>
        </is>
      </c>
      <c r="G24" s="12" t="inlineStr">
        <is>
          <t>NOVEL COMBOS: Pair with BLE + UWB for coarse+fine positioning systems that use BLE for room-level detection and UWB for centimeter precision within the room. Combine with ESP-NOW mesh + UWB for a real-time location system (RTLS) that tracks dozens of objects simultaneously. INVENTION SPARK: A spatial computing interaction layer — UWB-equipped ESP32 wearable rings track hand position in 3D space relative to UWB-tagged objects, enabling gesture-based control of physical devices without cameras or touchscreens.</t>
        </is>
      </c>
      <c r="H24" s="12" t="inlineStr">
        <is>
          <t>WHAT IT IS: UWB = Ultra-Wideband. A radio that measures distance between two devices with centimeter accuracy by timing how long radio pulses take to travel. It's how Apple AirTags and car digital keys work. Unlike GPS, it works indoors. HOW IT CONNECTS: ESP32 doesn't have UWB built in. You add a Qorvo DW3000 module (~$15-25) connected via SPI (4 wires: MISO, MOSI, CLK, CS + interrupt + reset pins). You need at least 2 UWB modules (one on the thing being tracked, one or more as fixed 'anchors' at known positions). WHAT YOU DO: One device sends a UWB pulse, the other responds, and the round-trip time gives the exact distance (speed of light × time ÷ 2). With 3+ anchors at known positions, you triangulate the tracker's exact 3D position. Library: use the DW3000 Arduino library. Update rate: 10-100 position fixes per second.</t>
        </is>
      </c>
    </row>
    <row r="25" ht="62" customHeight="1">
      <c r="A25" s="12" t="inlineStr">
        <is>
          <t>Wired Connectivity</t>
        </is>
      </c>
      <c r="B25" s="75" t="inlineStr">
        <is>
          <t>UART multi-device integration</t>
        </is>
      </c>
      <c r="C25" s="107" t="inlineStr">
        <is>
          <t>Covered</t>
        </is>
      </c>
      <c r="D25" s="29" t="inlineStr">
        <is>
          <t>Strategic</t>
        </is>
      </c>
      <c r="E25" s="12" t="inlineStr">
        <is>
          <t>ESP32 DevKitC + TTL peripherals</t>
        </is>
      </c>
      <c r="F25" s="12" t="inlineStr">
        <is>
          <t>Serial communication with GPS modules, sensor boards, other MCUs, industrial PLCs, barcode scanners, and any TTL-level device. Debug console output. Multi-UART enables simultaneous connections to several peripherals.</t>
        </is>
      </c>
      <c r="G25" s="12" t="inlineStr">
        <is>
          <t>NOVEL COMBOS: Pair with RS-485/Modbus + UART for bridging modern IoT protocols to legacy industrial equipment. Combine with BLE + UART for a wireless serial adapter that gives any UART device Bluetooth connectivity. INVENTION SPARK: A universal legacy-device IoT adapter — ESP32 UART bridge reads data from any serial device (old lab instruments, vintage machines, medical devices) and publishes it to cloud dashboards via Wi-Fi, preserving decades of investment in legacy equipment.</t>
        </is>
      </c>
      <c r="H25" s="12" t="inlineStr">
        <is>
          <t>WHAT IT IS: UART = Universal Asynchronous Receiver/Transmitter. The simplest way two devices talk to each other — just 2 wires (TX and RX) sending bytes back and forth, like passing notes. It's the same as a 'serial port'. Almost every sensor module, GPS, and microcontroller speaks UART. HOW IT CONNECTS: Connect TX of device A to RX of device B, and vice versa. Plus a shared GND wire. That's it — 3 wires total. The ESP32 has 3 UART ports, so you can talk to 3 devices simultaneously. IMPORTANT: Make sure both devices use the same voltage (3.3V for ESP32 — don't connect a 5V device directly or you'll damage it; use a level shifter if needed). WHAT YOU DO: `Serial2.begin(9600)` to start, `Serial2.println("hello")` to send, `Serial2.read()` to receive. Baud rate (9600, 115200, etc.) must match on both ends — it's the agreed speed.</t>
        </is>
      </c>
    </row>
    <row r="26" ht="62" customHeight="1">
      <c r="A26" s="12" t="inlineStr">
        <is>
          <t>Wired Connectivity</t>
        </is>
      </c>
      <c r="B26" s="75" t="inlineStr">
        <is>
          <t>I2C sensor buses</t>
        </is>
      </c>
      <c r="C26" s="107" t="inlineStr">
        <is>
          <t>Covered</t>
        </is>
      </c>
      <c r="D26" s="29" t="inlineStr">
        <is>
          <t>Frontier</t>
        </is>
      </c>
      <c r="E26" s="12" t="inlineStr">
        <is>
          <t>Qwiic/Stemma QT sensors + ESP32</t>
        </is>
      </c>
      <c r="F26" s="12" t="inlineStr">
        <is>
          <t>Connect dozens of sensors on two wires — temperature, humidity, pressure, light, IMU, gas sensors, OLED displays. Qwiic/Stemma QT plug-and-play ecosystems make prototyping instant.</t>
        </is>
      </c>
      <c r="G26" s="12" t="inlineStr">
        <is>
          <t>NOVEL COMBOS: Pair with sensor fusion + TinyML for multi-sensor environmental fingerprinting — an I2C bus carrying temp, humidity, pressure, gas, and light sensors feeds an on-device ML model that identifies room type, occupancy, or cooking activity. Combine with ULP coprocessor for a low-power sensor scanner that polls I2C devices only via the ULP, keeping main cores asleep. INVENTION SPARK: A smart beehive health monitor — I2C bus connects weight sensors, temp/humidity, CO2, acoustic mic, and accelerometer, all analyzed by edge AI to detect swarming intent, queen health, and varroa mite infestations, alerting beekeepers via BLE.</t>
        </is>
      </c>
      <c r="H26" s="12" t="inlineStr">
        <is>
          <t>WHAT IT IS: I2C (pronounced 'I-squared-C') = a 2-wire bus that connects many sensors/devices in a chain. Each device has a unique address (like house numbers on a street). You can hang 20+ sensors off just 2 wires. It's the most popular sensor connection standard. HOW IT CONNECTS: 2 wires: SDA (data) and SCL (clock), plus VCC and GND. All devices connect to the SAME 2 wires in parallel — just daisy-chain them. Qwiic (SparkFun) and STEMMA QT (Adafruit) connectors make this plug-and-play: small 4-pin cables that snap together, no soldering. WHAT YOU DO: `Wire.begin()` starts the bus. Then `Wire.beginTransmission(0x76)` talks to the device at address 0x76 (a BME280 temp sensor, for example). Most sensors have Arduino libraries that handle the I2C details for you — e.g., `bme.readTemperature()` just returns a number.</t>
        </is>
      </c>
    </row>
    <row r="27" ht="62" customHeight="1">
      <c r="A27" s="12" t="inlineStr">
        <is>
          <t>Wired Connectivity</t>
        </is>
      </c>
      <c r="B27" s="75" t="inlineStr">
        <is>
          <t>SPI high-speed peripherals</t>
        </is>
      </c>
      <c r="C27" s="107" t="inlineStr">
        <is>
          <t>Covered</t>
        </is>
      </c>
      <c r="D27" s="29" t="inlineStr">
        <is>
          <t>Frontier</t>
        </is>
      </c>
      <c r="E27" s="12" t="inlineStr">
        <is>
          <t>Displays, ADCs, SD, radios</t>
        </is>
      </c>
      <c r="F27" s="12" t="inlineStr">
        <is>
          <t>High-speed data exchange with TFT/OLED displays, external ADCs/DACs, SD cards, LoRa/UWB radio modules, NOR flash, and ethernet PHYs. The performance backbone for bandwidth-hungry peripherals.</t>
        </is>
      </c>
      <c r="G27" s="12" t="inlineStr">
        <is>
          <t>NOVEL COMBOS: Pair with camera + PSRAM + TFT display for a self-contained visual inspection station. Combine with external high-resolution ADC via SPI for precision measurement instruments rivaling benchtop equipment. INVENTION SPARK: A pocket oscilloscope and logic analyzer — SPI-connected high-speed ADC samples analog signals, ESP32-S3 processes via vector DSP, and results display on an SPI TFT with touch, all powered by a LiPo cell. A $20 instrument replacing $500 benchtop gear.</t>
        </is>
      </c>
      <c r="H27" s="12" t="inlineStr">
        <is>
          <t>WHAT IT IS: SPI = Serial Peripheral Interface. A faster version of I2C (MHz vs KHz) but needs more wires. Used for devices that move lots of data quickly: screens, SD cards, radio modules, high-speed ADCs. Think of I2C as a regular conversation and SPI as a fire hose. HOW IT CONNECTS: 4 wires: MOSI (data out), MISO (data in), CLK (clock), CS (chip select — one per device). Unlike I2C, each SPI device needs its own CS wire so the ESP32 can select which device to talk to. Plus VCC and GND. So: 6+ wires total per device. WHAT YOU DO: `SPI.begin()` starts the bus. Libraries for screens, SD cards, and radios handle the SPI details. E.g., `tft.drawPixel(x, y, color)` for a display or `LoRa.begin(freq)` for a radio. SPI is faster than I2C (40+ MHz vs 400KHz) but uses more pins.</t>
        </is>
      </c>
    </row>
    <row r="28" ht="62" customHeight="1">
      <c r="A28" s="12" t="inlineStr">
        <is>
          <t>Wired Connectivity</t>
        </is>
      </c>
      <c r="B28" s="75" t="inlineStr">
        <is>
          <t>I2S audio in/out</t>
        </is>
      </c>
      <c r="C28" s="107" t="inlineStr">
        <is>
          <t>Covered</t>
        </is>
      </c>
      <c r="D28" s="29" t="inlineStr">
        <is>
          <t>Frontier</t>
        </is>
      </c>
      <c r="E28" s="12" t="inlineStr">
        <is>
          <t>INMP441 mic + MAX98357 amp</t>
        </is>
      </c>
      <c r="F28" s="12" t="inlineStr">
        <is>
          <t>Digital audio input/output — connect MEMS microphones for voice capture, DAC amplifier boards for speaker output, create intercoms, voice recorders, music players, and audio processing pipelines.</t>
        </is>
      </c>
      <c r="G28" s="12" t="inlineStr">
        <is>
          <t>NOVEL COMBOS: Pair with TinyML + wake word detection for offline voice-controlled devices that never send audio to the cloud. Combine with ESP-NOW for a low-latency wireless intercom system between rooms. Pair with vector DSP (S3) for real-time audio effects processing (EQ, reverb, noise cancellation). INVENTION SPARK: A bioacoustic field recorder + classifier — I2S mic array captures wildlife sounds, on-device TinyML classifies species in real-time, GPS-stamps detections, and logs to SD card, building an automated biodiversity survey station.</t>
        </is>
      </c>
      <c r="H28" s="12" t="inlineStr">
        <is>
          <t>WHAT IT IS: I2S (pronounced 'I-squared-S') = a digital audio bus. It carries audio data as a stream of digital numbers (not analog waves). Used to connect digital microphones (for recording) and digital amplifiers (for playing sound). HOW IT CONNECTS: 3 wires: BCLK (bit clock), WS/LRCLK (word select — left/right channel), DIN or DOUT (data). For a microphone (INMP441, ~$3): connect these 3 wires + VCC + GND. For a speaker amplifier (MAX98357, ~$5): same 3 wires + VCC + GND, then connect a speaker to the amp board. WHAT YOU DO: Use the I2S library to set sample rate (e.g., 16000 Hz) and bit depth (16-bit). For recording: `i2s_read()` fills a buffer with audio samples. For playback: `i2s_write()` sends audio samples to the amp. You get CD-quality digital audio in and out of a $5 microcontroller.</t>
        </is>
      </c>
    </row>
    <row r="29" ht="62" customHeight="1">
      <c r="A29" s="12" t="inlineStr">
        <is>
          <t>Wired Connectivity</t>
        </is>
      </c>
      <c r="B29" s="75" t="inlineStr">
        <is>
          <t>USB device on S2/S3</t>
        </is>
      </c>
      <c r="C29" s="107" t="inlineStr">
        <is>
          <t>Covered</t>
        </is>
      </c>
      <c r="D29" s="29" t="inlineStr">
        <is>
          <t>Strategic</t>
        </is>
      </c>
      <c r="E29" s="12" t="inlineStr">
        <is>
          <t>ESP32-S2/S3 dev board</t>
        </is>
      </c>
      <c r="F29" s="12" t="inlineStr">
        <is>
          <t>Plug-and-play with computers as a keyboard, mouse, MIDI controller, game controller, serial device, or mass storage. Device-mode USB enables ESP32 to appear as any USB peripheral to a host computer.</t>
        </is>
      </c>
      <c r="G29" s="12" t="inlineStr">
        <is>
          <t>NOVEL COMBOS: Pair with capacitive touch + USB HID for custom adaptive input devices for accessibility. Combine with IMU + USB MIDI for motion-controlled musical instruments. INVENTION SPARK: A context-aware productivity macro pad — ESP32-S2 presents as USB HID keyboard, but uses BLE to detect which app is active on your computer and dynamically changes its button mappings, with an OLED showing current macros per app.</t>
        </is>
      </c>
      <c r="H29" s="12" t="inlineStr">
        <is>
          <t>WHAT IT IS: The ESP32-S2 and S3 have a USB controller built into the chip itself. This means the ESP32 can pretend to be ANY USB device when you plug it into a computer — a keyboard, a mouse, a game controller, a MIDI instrument, a flash drive. HOW IT CONNECTS: Just a USB-C cable from the ESP32 board to your computer. No extra hardware. The S2/S3 dev boards already have the USB connector on-board. WHAT YOU DO: Use the TinyUSB library. Example: `tud_hid_keyboard_report()` makes the ESP32 type keystrokes on the computer. The computer sees a real USB keyboard — it doesn't know it's an ESP32. You can make custom input devices, security keys, macro keyboards, or anything a USB peripheral can be.</t>
        </is>
      </c>
    </row>
    <row r="30" ht="62" customHeight="1">
      <c r="A30" s="12" t="inlineStr">
        <is>
          <t>Wired Connectivity</t>
        </is>
      </c>
      <c r="B30" s="75" t="inlineStr">
        <is>
          <t>USB host on S3/P4-class boards</t>
        </is>
      </c>
      <c r="C30" s="108" t="inlineStr">
        <is>
          <t>Gap</t>
        </is>
      </c>
      <c r="D30" s="29" t="inlineStr">
        <is>
          <t>Strategic</t>
        </is>
      </c>
      <c r="E30" s="12" t="inlineStr">
        <is>
          <t>ESP32-S3 USB host capable board</t>
        </is>
      </c>
      <c r="F30" s="12" t="inlineStr">
        <is>
          <t>Connect USB peripherals directly to ESP32 — USB keyboards, mice, flash drives, barcode scanners, MIDI controllers. Enables kiosk-style and embedded applications without a full computer.</t>
        </is>
      </c>
      <c r="G30" s="12" t="inlineStr">
        <is>
          <t>NOVEL COMBOS: Pair with Wi-Fi AP + USB host for a portable document scanner station — plug in a USB scanner, ESP32 hosts a web interface for scanning to cloud. Combine with SD logging + USB host for a field data aggregator that reads USB drives from multiple sensors. INVENTION SPARK: A universal IoT USB bridge — plug any USB device into the ESP32-S3 host port, and it automatically discovers the device type and exposes its data over MQTT/Wi-Fi/BLE, turning any USB instrument into a networked IoT device.</t>
        </is>
      </c>
      <c r="H30" s="12" t="inlineStr">
        <is>
          <t>WHAT IT IS: The reverse of USB device mode — instead of the ESP32 being a USB peripheral, it becomes the USB HOST (like a computer). You can plug USB devices INTO the ESP32: keyboards, mice, USB flash drives, barcode scanners. HOW IT CONNECTS: The ESP32-S3 supports USB Host mode. You need a USB-A female connector (the big rectangular slot) wired to the S3's USB pins. Some dev boards have this already; otherwise solder a USB breakout. WHAT YOU DO: Use the ESP-IDF USB Host library. The ESP32 detects what you plugged in (keyboard, mouse, storage) and reads data from it. Example: plug in a USB barcode scanner, and the ESP32 reads scanned barcodes and sends them to a database via Wi-Fi. No computer needed.</t>
        </is>
      </c>
    </row>
    <row r="31" ht="62" customHeight="1">
      <c r="A31" s="12" t="inlineStr">
        <is>
          <t>Wired Connectivity</t>
        </is>
      </c>
      <c r="B31" s="75" t="inlineStr">
        <is>
          <t>RMII Ethernet</t>
        </is>
      </c>
      <c r="C31" s="107" t="inlineStr">
        <is>
          <t>Covered</t>
        </is>
      </c>
      <c r="D31" s="29" t="inlineStr">
        <is>
          <t>Frontier</t>
        </is>
      </c>
      <c r="E31" s="12" t="inlineStr">
        <is>
          <t>ESP32-Ethernet-Kit or LAN8720 PHY</t>
        </is>
      </c>
      <c r="F31" s="12" t="inlineStr">
        <is>
          <t>Wired ethernet for industrial installations requiring reliability beyond Wi-Fi — factory floor controllers, building management systems, POS terminals, fixed sensor nodes where wireless is unreliable or prohibited.</t>
        </is>
      </c>
      <c r="G31" s="12" t="inlineStr">
        <is>
          <t>NOVEL COMBOS: Pair with PoE + Modbus for single-cable industrial sensor nodes that receive power and network over one ethernet cable. Combine with MQTT + ethernet for ultra-reliable smart building infrastructure with guaranteed uptime. INVENTION SPARK: A wired+wireless IoT gateway — ESP32 with RMII ethernet as the reliable backbone uplink, while simultaneously running Wi-Fi AP + BLE + ESP-NOW to aggregate wireless sensor data, creating a hybrid network bridge.</t>
        </is>
      </c>
      <c r="H31" s="12" t="inlineStr">
        <is>
          <t>WHAT IT IS: RMII Ethernet = wired network connection, like plugging an ethernet cable into a laptop. More reliable than Wi-Fi (no interference, no dropped connections) and lower latency. RMII is the interface standard between the ESP32 and the ethernet PHY chip. HOW IT CONNECTS: You need an ethernet PHY chip (LAN8720 is most common, ~$2) connected to specific ESP32 pins via ~9 wires. The Espressif ESP32-Ethernet-Kit has everything pre-wired on one board. Plug in a standard ethernet cable to connect to your router/switch. WHAT YOU DO: `ETH.begin()` in Arduino. Then use the same HTTP/MQTT/TCP code you'd use with Wi-Fi, but over a wired connection. Ideal for permanent installations where you want rock-solid reliability (factory sensors, building management).</t>
        </is>
      </c>
    </row>
    <row r="32" ht="62" customHeight="1">
      <c r="A32" s="12" t="inlineStr">
        <is>
          <t>Wired Connectivity</t>
        </is>
      </c>
      <c r="B32" s="75" t="inlineStr">
        <is>
          <t>PoE deployment</t>
        </is>
      </c>
      <c r="C32" s="108" t="inlineStr">
        <is>
          <t>Gap</t>
        </is>
      </c>
      <c r="D32" s="29" t="inlineStr">
        <is>
          <t>Frontier</t>
        </is>
      </c>
      <c r="E32" s="12" t="inlineStr">
        <is>
          <t>ESP32-Ethernet-Kit + PoE board</t>
        </is>
      </c>
      <c r="F32" s="12" t="inlineStr">
        <is>
          <t>Single-cable power and data for permanent installations — security cameras, access control readers, environmental sensors in ceilings/walls where running separate power is expensive.</t>
        </is>
      </c>
      <c r="G32" s="12" t="inlineStr">
        <is>
          <t>NOVEL COMBOS: Pair with ePaper display + ethernet for a powered smart signage system that updates via network and never needs battery changes. Combine with RMII ethernet + thermal imaging for PoE-powered thermal security cameras with edge AI processing. INVENTION SPARK: A PoE-powered intelligent ceiling tile — drop-in ceiling tile with ESP32, PoE power, microphone array, environmental sensors, ePaper display, and BLE/Thread radios, creating smart building infrastructure that installs as easily as a ceiling panel.</t>
        </is>
      </c>
      <c r="H32" s="12" t="inlineStr">
        <is>
          <t>WHAT IT IS: PoE = Power over Ethernet. A standard that sends both data AND electrical power through a single ethernet cable. Instead of running separate power and network cables, one cable does both. The switch at the other end provides the power. HOW IT CONNECTS: You need the ESP32-Ethernet-Kit plus a PoE splitter/HAT board that separates the power from the data in the cable. The PoE board converts the ~48V from the ethernet cable to 3.3V/5V for the ESP32. Plug one ethernet cable into a PoE-capable switch — done. WHAT YOU DO: Code is identical to regular ethernet. The magic is in the hardware: one cable = network + power. This matters in buildings where running a second cable for power would mean tearing open walls. Mount sensor nodes in ceilings with just one cable drop.</t>
        </is>
      </c>
    </row>
    <row r="33" ht="62" customHeight="1">
      <c r="A33" s="12" t="inlineStr">
        <is>
          <t>Wired Connectivity</t>
        </is>
      </c>
      <c r="B33" s="75" t="inlineStr">
        <is>
          <t>TWAI / CAN bus</t>
        </is>
      </c>
      <c r="C33" s="107" t="inlineStr">
        <is>
          <t>Covered</t>
        </is>
      </c>
      <c r="D33" s="29" t="inlineStr">
        <is>
          <t>Frontier</t>
        </is>
      </c>
      <c r="E33" s="12" t="inlineStr">
        <is>
          <t>MCP2515 or SN65HVD transceiver</t>
        </is>
      </c>
      <c r="F33" s="12" t="inlineStr">
        <is>
          <t>Vehicle and industrial bus communication — read OBD-II vehicle diagnostics, interface with industrial automation (CANopen, J1939), EV battery management systems, agricultural equipment networks.</t>
        </is>
      </c>
      <c r="G33" s="12" t="inlineStr">
        <is>
          <t>NOVEL COMBOS: Pair with Wi-Fi + CAN for a vehicle-to-cloud telemetry bridge that streams engine data to fleet management dashboards. Combine with TinyML + CAN for on-board predictive maintenance that detects anomalous engine/motor patterns before failure. INVENTION SPARK: A universal vehicle hacking/research platform — CAN bus sniffer + Wi-Fi AP + web dashboard lets automotive researchers capture, decode, replay, and analyze any vehicle's CAN traffic from a phone, all on a $15 board.</t>
        </is>
      </c>
      <c r="H33" s="12" t="inlineStr">
        <is>
          <t>WHAT IT IS: CAN bus (Controller Area Network) = the network inside every car, truck, bus, and industrial machine. All the computers in your car (engine, brakes, dashboard, AC) talk to each other over CAN bus. TWAI is Espressif's name for their CAN controller. It's built into the ESP32 chip. HOW IT CONNECTS: The ESP32's TWAI controller outputs a digital signal, but CAN bus needs a specific voltage level. So you add a transceiver chip (MCP2551 or SN65HVD230, ~$2 on a breakout board) connected via 2 wires (TX, RX) to the ESP32. Then 2 wires (CANH, CANL) go to the vehicle/machine's CAN bus connector (usually an OBD-II port in cars). WHAT YOU DO: Use the ESP-IDF TWAI driver. `twai_receive()` reads messages from the bus. Each message has an ID (what it's about) and data (the values). Example: reading ID 0x7E8 from an OBD-II port gives you engine RPM, speed, temperature, and fault codes.</t>
        </is>
      </c>
    </row>
    <row r="34" ht="62" customHeight="1">
      <c r="A34" s="12" t="inlineStr">
        <is>
          <t>Wired Connectivity</t>
        </is>
      </c>
      <c r="B34" s="75" t="inlineStr">
        <is>
          <t>RS-485 / Modbus</t>
        </is>
      </c>
      <c r="C34" s="108" t="inlineStr">
        <is>
          <t>Gap</t>
        </is>
      </c>
      <c r="D34" s="29" t="inlineStr">
        <is>
          <t>Frontier</t>
        </is>
      </c>
      <c r="E34" s="12" t="inlineStr">
        <is>
          <t>MAX3485 transceiver + ESP32</t>
        </is>
      </c>
      <c r="F34" s="12" t="inlineStr">
        <is>
          <t>Industrial communication standard for factories, HVAC systems, solar inverters, power meters, PLCs, and building automation. RS-485 supports long cable runs (1200m+) and multi-drop networks.</t>
        </is>
      </c>
      <c r="G34" s="12" t="inlineStr">
        <is>
          <t>NOVEL COMBOS: Pair with MQTT + Wi-Fi for modernizing legacy Modbus industrial systems with cloud connectivity and dashboards. Combine with energy metering over Modbus for comprehensive power monitoring of entire facilities. INVENTION SPARK: An industrial digital twin bridge — ESP32 reads all Modbus registers from legacy factory equipment, maps them to a real-time 3D digital twin model in the cloud, enabling predictive maintenance and process optimization on equipment that predates the internet.</t>
        </is>
      </c>
      <c r="H34" s="12" t="inlineStr">
        <is>
          <t>WHAT IT IS: RS-485 is an industrial communication standard that sends data over very long wires (up to 1200 meters!) with high noise resistance. Modbus is a protocol (language) spoken over RS-485 — the most common language in factory automation. Almost every industrial device speaks Modbus. HOW IT CONNECTS: You need a MAX3485 transceiver chip (~$1 on a breakout). Connect 3 wires to ESP32: RX, TX, and DE/RE (direction control). Then 2 wires (A, B) run to the industrial device. Multiple devices chain on the same 2 wires (multi-drop), each with a unique address (1-247). WHAT YOU DO: Use a Modbus library. `modbus.readHoldingRegisters(slaveAddr, registerAddr, count)` reads data from an industrial device. Example: read power meter register 0x0000 from device #1 = total kWh consumed. It's the universal language for talking to factory equipment, solar inverters, and HVAC systems.</t>
        </is>
      </c>
    </row>
    <row r="35" ht="62" customHeight="1">
      <c r="A35" s="12" t="inlineStr">
        <is>
          <t>Wired Connectivity</t>
        </is>
      </c>
      <c r="B35" s="75" t="inlineStr">
        <is>
          <t>1-Wire sensor networks</t>
        </is>
      </c>
      <c r="C35" s="108" t="inlineStr">
        <is>
          <t>Gap</t>
        </is>
      </c>
      <c r="D35" s="29" t="inlineStr">
        <is>
          <t>Strategic</t>
        </is>
      </c>
      <c r="E35" s="12" t="inlineStr">
        <is>
          <t>DS18B20 network + pull-up</t>
        </is>
      </c>
      <c r="F35" s="12" t="inlineStr">
        <is>
          <t>Dallas 1-Wire sensor networks — chain dozens of DS18B20 temperature sensors on a single wire for distributed temperature mapping in buildings, soil, water systems, cold chain logistics, server rooms.</t>
        </is>
      </c>
      <c r="G35" s="12" t="inlineStr">
        <is>
          <t>NOVEL COMBOS: Pair with Wi-Fi + MQTT for cloud-connected temperature monitoring arrays at minimal wiring cost. Combine with deep sleep + LoRa for remote soil temperature profiling across agricultural fields using long 1-Wire chains per node. INVENTION SPARK: A fermentation precision controller — a chain of 1-Wire temp sensors at different depths in brewing/wine vessels feeds PID control algorithms, maintaining exact temperature gradients throughout fermentation, with data logged and accessible via phone.</t>
        </is>
      </c>
      <c r="H35" s="12" t="inlineStr">
        <is>
          <t>WHAT IT IS: 1-Wire is Dallas Semiconductor's protocol that lets you chain many sensors on literally one data wire (plus ground). The DS18B20 is the most famous: a tiny 3-pin temperature sensor (~$1) that's waterproof, accurate to 0.5°C, and you can chain 20+ on one wire, each with a unique ID burned in at the factory. HOW IT CONNECTS: 3 wires from the DS18B20: VCC (3.3V power), GND (ground), and DATA (the one signal wire). You need one 4.7KΩ resistor between DATA and VCC (called a 'pull-up'). To add more sensors, just connect them all in parallel to the same DATA wire. Each sensor has a unique 64-bit address so they don't get confused. WHAT YOU DO: Use the DallasTemperature library. `sensors.requestTemperatures()` tells all sensors to measure, then `sensors.getTempCByIndex(0)` reads the first sensor. You can address specific sensors by their unique ID.</t>
        </is>
      </c>
    </row>
    <row r="36" ht="62" customHeight="1">
      <c r="A36" s="12" t="inlineStr">
        <is>
          <t>Timing &amp; IO</t>
        </is>
      </c>
      <c r="B36" s="75" t="inlineStr">
        <is>
          <t>PWM / LEDC motor and light control</t>
        </is>
      </c>
      <c r="C36" s="107" t="inlineStr">
        <is>
          <t>Covered</t>
        </is>
      </c>
      <c r="D36" s="29" t="inlineStr">
        <is>
          <t>Frontier</t>
        </is>
      </c>
      <c r="E36" s="12" t="inlineStr">
        <is>
          <t>ESP32 board + driver stage</t>
        </is>
      </c>
      <c r="F36" s="12" t="inlineStr">
        <is>
          <t>Control motor speed, LED brightness, servo position, and dimmer circuits. LEDC channels allow independent control of up to 16 outputs. Essential for robotics, lighting systems, fan control, and any analog-like output from digital pins.</t>
        </is>
      </c>
      <c r="G36" s="12" t="inlineStr">
        <is>
          <t>NOVEL COMBOS: Pair with BLE + PWM for smartphone-controlled RGB lighting with smooth dimming curves. Combine with PID control + ADC feedback for closed-loop motor speed regulation or precision temperature control (Peltier/heater). INVENTION SPARK: A bio-responsive ambient environment — PWM controls room lighting color/intensity, fan speed, and aroma diffuser intensity, all modulated in real-time by biometric data (heart rate, skin conductance) from a BLE wearable, creating a space that physically adapts to your emotional state.</t>
        </is>
      </c>
      <c r="H36" s="12" t="inlineStr">
        <is>
          <t>WHAT IT IS: PWM = Pulse Width Modulation. Instead of outputting a steady voltage, the pin flickers on/off thousands of times per second. By changing the ratio of on-time to off-time ('duty cycle'), you control average power. 50% duty = half brightness for an LED, half speed for a motor. LEDC = the ESP32's PWM hardware (up to 16 independent channels). HOW IT CONNECTS: No extra hardware for LEDs. Connect an LED (+ resistor) to any GPIO pin. For motors/servos, you need a driver board (like a MOSFET or L298N motor driver, ~$3) between the ESP32 and the motor, because the ESP32's pins can't supply enough current directly. WHAT YOU DO: `ledcSetup(channel, 5000, 8)` sets up channel 0 at 5000Hz with 8-bit resolution (0-255 brightness levels). `ledcWrite(channel, 128)` = 50% brightness. For servos: `ledcWrite(channel, pulseWidth)` where pulse width controls angle.</t>
        </is>
      </c>
    </row>
    <row r="37" ht="62" customHeight="1">
      <c r="A37" s="12" t="inlineStr">
        <is>
          <t>Timing &amp; IO</t>
        </is>
      </c>
      <c r="B37" s="75" t="inlineStr">
        <is>
          <t>PCNT pulse counting</t>
        </is>
      </c>
      <c r="C37" s="108" t="inlineStr">
        <is>
          <t>Gap</t>
        </is>
      </c>
      <c r="D37" s="29" t="inlineStr">
        <is>
          <t>Frontier</t>
        </is>
      </c>
      <c r="E37" s="12" t="inlineStr">
        <is>
          <t>ESP32 board + pulse source</t>
        </is>
      </c>
      <c r="F37" s="12" t="inlineStr">
        <is>
          <t>Count pulses from flow meters, rotary encoders, Geiger counters, anemometers, and frequency generators without CPU overhead. Hardware-based counting is accurate even when the CPU is busy with other tasks.</t>
        </is>
      </c>
      <c r="G37" s="12" t="inlineStr">
        <is>
          <t>NOVEL COMBOS: Pair with deep sleep + ULP for ultra-low-power flow metering that counts water/gas pulses for months on battery. Combine with Wi-Fi + MQTT for networked industrial pulse-counting across multiple machines. INVENTION SPARK: A citizen radiation mapping network — PCNT-connected Geiger tubes on solar-powered ESP32 nodes count radioactive decays with hardware precision, mesh-sharing readings via ESP-NOW to build real-time environmental radiation maps.</t>
        </is>
      </c>
      <c r="H37" s="12" t="inlineStr">
        <is>
          <t>WHAT IT IS: PCNT = Pulse Counter. A hardware module inside the ESP32 that counts electrical pulses on a pin with ZERO CPU involvement. The CPU can be doing other things and the counter keeps counting perfectly. Think of it as a dedicated tally counter built into the chip. HOW IT CONNECTS: Connect the pulse source's output wire to an ESP32 GPIO pin. Pulse sources include: flow meter sensors (one pulse per unit of water/gas), Geiger counter tubes (one pulse per radioactive decay), anemometers (one pulse per rotation), rotary encoders (pulses as you turn the knob). WHAT YOU DO: Configure via ESP-IDF PCNT driver: set the GPIO pin, set whether to count rising or falling edges, set max count value. Then `pcnt_get_counter_value()` reads the current count at any time. The hardware does all the counting — you just read the total whenever you want.</t>
        </is>
      </c>
    </row>
    <row r="38" ht="62" customHeight="1">
      <c r="A38" s="12" t="inlineStr">
        <is>
          <t>Timing &amp; IO</t>
        </is>
      </c>
      <c r="B38" s="75" t="inlineStr">
        <is>
          <t>RMT waveform generation / decode</t>
        </is>
      </c>
      <c r="C38" s="108" t="inlineStr">
        <is>
          <t>Gap</t>
        </is>
      </c>
      <c r="D38" s="29" t="inlineStr">
        <is>
          <t>Frontier</t>
        </is>
      </c>
      <c r="E38" s="12" t="inlineStr">
        <is>
          <t>IR receiver / WS2812 / timing IO</t>
        </is>
      </c>
      <c r="F38" s="12" t="inlineStr">
        <is>
          <t>Generate and decode infrared remote control signals, drive addressable LED strips (WS2812/NeoPixel), create precise timing pulses for servo control, and decode digital protocols. Hardware-timed waveforms free the CPU entirely.</t>
        </is>
      </c>
      <c r="G38" s="12" t="inlineStr">
        <is>
          <t>NOVEL COMBOS: Pair with Wi-Fi + IR for a universal smart remote that learns and replays any IR signal from a phone app. Combine with addressable LEDs + audio I2S for sound-reactive light installations. INVENTION SPARK: A universal signal cloner — RMT captures any digital waveform (IR, RF preambles, proprietary protocols), analyzes timing patterns via software, and regenerates them, enabling reverse-engineering and bridging between incompatible devices.</t>
        </is>
      </c>
      <c r="H38" s="12" t="inlineStr">
        <is>
          <t>WHAT IT IS: RMT = Remote Control Transceiver. Originally designed for infrared (TV remote) signals, but actually a general-purpose hardware waveform generator/reader. It can produce or record any pattern of precise on/off pulses at nanosecond accuracy — without using the CPU. HOW IT CONNECTS: For IR: connect an IR receiver module (VS1838B, ~$0.50 — 3 pins: VCC, GND, OUT) to read TV remotes. For IR sending: connect an IR LED (+ transistor for power) to a GPIO. For LED strips (WS2812/NeoPixel): connect the strip's DATA wire to a GPIO pin + 5V power supply. WHAT YOU DO: For NeoPixel LEDs: use FastLED or NeoPixel library — `leds[0] = CRGB::Red; FastLED.show()`. For IR: use the IRremote library — `IrReceiver.decode()` reads a remote button press, `IrSender.sendNEC(code)` transmits. The RMT hardware generates the exact microsecond-precise timing patterns these protocols require.</t>
        </is>
      </c>
    </row>
    <row r="39" ht="62" customHeight="1">
      <c r="A39" s="12" t="inlineStr">
        <is>
          <t>Timing &amp; IO</t>
        </is>
      </c>
      <c r="B39" s="75" t="inlineStr">
        <is>
          <t>Capacitive touch inputs</t>
        </is>
      </c>
      <c r="C39" s="107" t="inlineStr">
        <is>
          <t>Covered</t>
        </is>
      </c>
      <c r="D39" s="29" t="inlineStr">
        <is>
          <t>Strategic</t>
        </is>
      </c>
      <c r="E39" s="12" t="inlineStr">
        <is>
          <t>ESP32 touch-capable board + pads</t>
        </is>
      </c>
      <c r="F39" s="12" t="inlineStr">
        <is>
          <t>Button-free touch interfaces — touch-sensitive panels behind wood, glass, or plastic enclosures. Proximity detection without mechanical parts. Water level sensing via capacitive measurement. Gesture areas on PCBs.</t>
        </is>
      </c>
      <c r="G39" s="12" t="inlineStr">
        <is>
          <t>NOVEL COMBOS: Pair with deep sleep + ULP for touch-to-wake devices that draw zero power until a human touches the surface. Combine with NVS + BLE for personalized touch interfaces that recognize gesture patterns per user. INVENTION SPARK: A smart wall panel — capacitive touch zones hidden behind a seamless painted wall surface act as light switches, dimmer sliders, and thermostat controls with no visible hardware, using haptic feedback buzzers to confirm touches.</t>
        </is>
      </c>
      <c r="H39" s="12" t="inlineStr">
        <is>
          <t>WHAT IT IS: Certain ESP32 GPIO pins can detect touch without a physical button. Your finger's natural electrical charge changes the capacitance of a metal pad, and the ESP32 measures this change. Works through thin non-conductive materials (plastic, glass, wood, paint). HOW IT CONNECTS: No extra components needed. Just expose a conductive surface (copper tape, PCB pad, aluminum foil, even a wire) connected to a touch-capable GPIO pin (GPIO0-9 on classic ESP32). For better sensitivity, make the pad large (1-2cm²) and keep wires short. A thin plastic/glass overlay still works. WHAT YOU DO: `touchRead(4)` returns a number (0-100+). Untouched might read 80; touched might read 20 (lower = touching). Set a threshold: `if (touchRead(4) &lt; 40) { /* finger detected */ }`. You can also use `touchAttachInterrupt()` to wake from deep sleep on touch.</t>
        </is>
      </c>
    </row>
    <row r="40" ht="62" customHeight="1">
      <c r="A40" s="12" t="inlineStr">
        <is>
          <t>Timing &amp; IO</t>
        </is>
      </c>
      <c r="B40" s="75" t="inlineStr">
        <is>
          <t>ADC analog acquisition</t>
        </is>
      </c>
      <c r="C40" s="107" t="inlineStr">
        <is>
          <t>Covered</t>
        </is>
      </c>
      <c r="D40" s="29" t="inlineStr">
        <is>
          <t>Frontier</t>
        </is>
      </c>
      <c r="E40" s="12" t="inlineStr">
        <is>
          <t>ESP32 ADC pins + analog frontend</t>
        </is>
      </c>
      <c r="F40" s="12" t="inlineStr">
        <is>
          <t>Read analog sensors — light levels (LDR), soil moisture, potentiometers, voltage dividers, battery levels, analog temperature sensors, microphone preamps, pH/EC probes. Foundation for any measurement system.</t>
        </is>
      </c>
      <c r="G40" s="12" t="inlineStr">
        <is>
          <t>NOVEL COMBOS: Pair with ULP + deep sleep for always-on analog monitoring (soil moisture, battery voltage) at microamp power. Combine with vector DSP on S3 for high-speed analog signal processing (audio spectrum, vibration analysis). Pair with external SPI ADC for precision measurement beyond internal ADC limits. INVENTION SPARK: A multi-channel soil health analyzer — ADC inputs read pH, moisture, EC, temperature, and NPK sensors simultaneously, TinyML identifies soil type and health status, and BLE sends personalized fertilizer recommendations to a farmer's phone.</t>
        </is>
      </c>
      <c r="H40" s="12" t="inlineStr">
        <is>
          <t>WHAT IT IS: ADC = Analog to Digital Converter. Reads a voltage (0V to 3.3V) and converts it to a number (0-4095 on 12-bit ADC). This is how the ESP32 measures analog sensors that output a varying voltage — light sensors, soil moisture probes, potentiometer knobs, battery level, pH probes, etc. HOW IT CONNECTS: Connect the sensor's output wire directly to an ADC-capable GPIO pin (GPIO 32-39 on classic ESP32). Make sure the voltage never exceeds 3.3V (use a voltage divider — two resistors — to scale down higher voltages). Some sensors need a small pull-up or pull-down resistor. WHAT YOU DO: `analogRead(34)` returns 0-4095. 0 = 0V, 4095 = 3.3V. Convert to real voltage: `voltage = analogRead(34) * 3.3 / 4095.0`. NOTE: ESP32's built-in ADC isn't super precise (±50mV). For precision measurements (scientific, medical), use an external SPI ADC like the ADS1115 (~$5) which is 10x more accurate.</t>
        </is>
      </c>
    </row>
    <row r="41" ht="62" customHeight="1">
      <c r="A41" s="12" t="inlineStr">
        <is>
          <t>Timing &amp; IO</t>
        </is>
      </c>
      <c r="B41" s="75" t="inlineStr">
        <is>
          <t>DAC / analog output on supported parts</t>
        </is>
      </c>
      <c r="C41" s="108" t="inlineStr">
        <is>
          <t>Gap</t>
        </is>
      </c>
      <c r="D41" s="29" t="inlineStr">
        <is>
          <t>Strategic</t>
        </is>
      </c>
      <c r="E41" s="12" t="inlineStr">
        <is>
          <t>ESP32 classic with DAC pins</t>
        </is>
      </c>
      <c r="F41" s="12" t="inlineStr">
        <is>
          <t>Generate true analog output voltages for audio waveform synthesis, control setpoints for analog-controlled equipment, calibration voltage references, and simple waveform generators for testing.</t>
        </is>
      </c>
      <c r="G41" s="12" t="inlineStr">
        <is>
          <t>NOVEL COMBOS: Pair with I2S + DAC for analog audio output in voice assistants and music players. Combine with ADC + DAC for a real-time analog signal processor (filters, amplifiers, function generators). INVENTION SPARK: A biofeedback audio therapy device — DAC generates soothing tones whose pitch and modulation are driven in real-time by heart rate and breathing sensors, creating personalized meditation soundscapes that respond to your body's rhythms.</t>
        </is>
      </c>
      <c r="H41" s="12" t="inlineStr">
        <is>
          <t>WHAT IT IS: DAC = Digital to Analog Converter. The opposite of ADC — you give it a number and it outputs an actual analog voltage. Only the original ESP32 has built-in DAC (2 channels: GPIO 25 and 26). Outputs 0V to 3.3V at 8-bit resolution (256 steps). HOW IT CONNECTS: No extra hardware. The output appears directly on GPIO 25 or GPIO 26. Connect whatever needs an analog voltage: an audio amplifier, an analog meter, a device with a voltage-controlled input. WHAT YOU DO: `dacWrite(25, 128)` outputs ~1.65V (halfway). `dacWrite(25, 255)` outputs ~3.3V. For audio: rapidly change the value (e.g., 8000 times per second) to create a sound waveform. Limitations: only 2 channels, 8-bit resolution (coarse steps), 3.3V max output. For better audio quality, use an I2S DAC module (MAX98357) instead.</t>
        </is>
      </c>
    </row>
    <row r="42" ht="62" customHeight="1">
      <c r="A42" s="12" t="inlineStr">
        <is>
          <t>Timing &amp; IO</t>
        </is>
      </c>
      <c r="B42" s="75" t="inlineStr">
        <is>
          <t>Interrupt-driven event handling</t>
        </is>
      </c>
      <c r="C42" s="107" t="inlineStr">
        <is>
          <t>Covered</t>
        </is>
      </c>
      <c r="D42" s="29" t="inlineStr">
        <is>
          <t>Frontier</t>
        </is>
      </c>
      <c r="E42" s="12" t="inlineStr">
        <is>
          <t>ESP32 board + digital sensors</t>
        </is>
      </c>
      <c r="F42" s="12" t="inlineStr">
        <is>
          <t>Respond to external events instantly — button presses, motion detector triggers, limit switches, zero-crossing detection for power control, alarm inputs, rotary encoder transitions. Enables real-time responsive systems.</t>
        </is>
      </c>
      <c r="G42" s="12" t="inlineStr">
        <is>
          <t>NOVEL COMBOS: Pair with deterministic real-time control + PWM for microsecond-accurate motor commutation on sensor feedback. Combine with ADC + interrupt for high-speed event-triggered data acquisition. INVENTION SPARK: A lightning detection and response system — interrupt-driven electromagnetic pulse detector triggers sub-millisecond protective actions (disconnecting sensitive equipment, closing shutters, alerting occupants) faster than any human could react.</t>
        </is>
      </c>
      <c r="H42" s="12" t="inlineStr">
        <is>
          <t>WHAT IT IS: Interrupts = the ESP32 stops what it's currently doing and immediately runs a special function when a pin changes state (goes HIGH or LOW). Like a doorbell — you don't have to keep checking the door; the bell interrupts whatever you're doing. Reaction time: microseconds. HOW IT CONNECTS: No extra hardware. Any GPIO pin can trigger an interrupt. Connect your signal source (button, motion sensor, limit switch, encoder) to a GPIO pin. Add a pull-up or pull-down resistor if needed (or use the ESP32's internal ones). WHAT YOU DO: `attachInterrupt(pin, myFunction, RISING)` — when the pin goes from LOW to HIGH, myFunction() runs immediately. Options: RISING, FALLING, CHANGE. Keep interrupt functions SHORT and FAST (set a flag, increment a counter — don't do Wi-Fi or Serial in an interrupt). Process the flag in your main loop.</t>
        </is>
      </c>
    </row>
    <row r="43" ht="62" customHeight="1">
      <c r="A43" s="12" t="inlineStr">
        <is>
          <t>Power &amp; Energy</t>
        </is>
      </c>
      <c r="B43" s="75" t="inlineStr">
        <is>
          <t>Deep sleep duty cycling</t>
        </is>
      </c>
      <c r="C43" s="107" t="inlineStr">
        <is>
          <t>Covered</t>
        </is>
      </c>
      <c r="D43" s="29" t="inlineStr">
        <is>
          <t>Frontier</t>
        </is>
      </c>
      <c r="E43" s="12" t="inlineStr">
        <is>
          <t>ESP32 board + RTC wake setup</t>
        </is>
      </c>
      <c r="F43" s="12" t="inlineStr">
        <is>
          <t>Slash power consumption to ~10μA between wake cycles. Essential for any battery-powered device — door sensors, weather stations, mailbox alerts, animal trackers, irrigation controllers that wake periodically, do their job, and return to near-zero power.</t>
        </is>
      </c>
      <c r="G43" s="12" t="inlineStr">
        <is>
          <t>NOVEL COMBOS: Pair with ULP coprocessor for sensor polling during deep sleep — the ULP watches for thresholds and only wakes the main cores when needed. Combine with LoRa + solar for deploy-and-forget field sensors running for years. Pair with RTC wake + BLE advertising for time-scheduled beacon devices. INVENTION SPARK: A decade-battery smart monument sensor — deep-sleeping ESP32 on a historic structure wakes once/day to check vibration, tilt, and humidity sensors for structural degradation, transmitting only when anomalies occur, lasting 10+ years on primary lithium cells.</t>
        </is>
      </c>
      <c r="H43" s="12" t="inlineStr">
        <is>
          <t>WHAT IT IS: Deep sleep = the ESP32 turns off almost everything (CPU, Wi-Fi, Bluetooth, peripherals) and draws only ~10 microamps (0.00001A). A 2000mAh battery could last 20+ years at that rate. The chip wakes up via a timer, a button press, a touch, or a signal from the ULP coprocessor. HOW IT CONNECTS: No extra hardware for basic deep sleep. The RTC (Real-Time Clock) inside the ESP32 keeps running and triggers the wake-up. For timer wake: just code. For external button wake: connect a button to a RTC GPIO pin (GPIO 0,2,4,12-15,25-27,32-39). WHAT YOU DO: `esp_sleep_enable_timer_wakeup(30000000)` = wake after 30 seconds. `esp_deep_sleep_start()` = go to sleep NOW. When it wakes, the program starts from the beginning (like a fresh reboot). Save any important data to NVS before sleeping. Typical pattern: wake → read sensor → send data → sleep → repeat.</t>
        </is>
      </c>
    </row>
    <row r="44" ht="62" customHeight="1">
      <c r="A44" s="12" t="inlineStr">
        <is>
          <t>Power &amp; Energy</t>
        </is>
      </c>
      <c r="B44" s="75" t="inlineStr">
        <is>
          <t>Dynamic power scaling</t>
        </is>
      </c>
      <c r="C44" s="107" t="inlineStr">
        <is>
          <t>Covered</t>
        </is>
      </c>
      <c r="D44" s="29" t="inlineStr">
        <is>
          <t>Frontier</t>
        </is>
      </c>
      <c r="E44" s="12" t="inlineStr">
        <is>
          <t>ESP32 SoC power modes</t>
        </is>
      </c>
      <c r="F44" s="12" t="inlineStr">
        <is>
          <t>Automatically reduce CPU clock speed and voltage when full performance isn't needed, balancing processing power against battery life dynamically. Useful for any portable device with variable workloads.</t>
        </is>
      </c>
      <c r="G44" s="12" t="inlineStr">
        <is>
          <t>NOVEL COMBOS: Pair with TinyML inference for AI devices that scale CPU up during inference and back down during idle — optimizing battery for smart cameras that process images intermittently. Combine with energy metering for self-aware nodes that adjust their own power based on remaining battery. INVENTION SPARK: A power-aware edge computing swarm — each node dynamically scales its processing based on battery state and task priority, nodes with more energy volunteer for heavier computation, creating a collective intelligence that self-balances energy across the mesh.</t>
        </is>
      </c>
      <c r="H44" s="12" t="inlineStr">
        <is>
          <t>WHAT IT IS: The ESP32 can change its CPU clock speed on the fly: 240MHz (full speed, uses ~60mA), 160MHz (medium), 80MHz (slow, uses ~20mA), or even 10MHz for very light tasks. Lower speed = less power. It's like switching your car between sport and eco mode. HOW IT CONNECTS: No hardware — it's a software command that adjusts the internal clock. WHAT YOU DO: `setCpuFrequencyMhz(80)` drops to 80MHz. Use 240MHz when you need to crunch data (AI inference, audio processing), then drop to 80MHz or lower when just waiting for a sensor reading. Wi-Fi needs at least 80MHz to work. Combine with light sleep for further savings during idle periods.</t>
        </is>
      </c>
    </row>
    <row r="45" ht="62" customHeight="1">
      <c r="A45" s="12" t="inlineStr">
        <is>
          <t>Power &amp; Energy</t>
        </is>
      </c>
      <c r="B45" s="75" t="inlineStr">
        <is>
          <t>Battery-powered remote nodes</t>
        </is>
      </c>
      <c r="C45" s="107" t="inlineStr">
        <is>
          <t>Covered</t>
        </is>
      </c>
      <c r="D45" s="29" t="inlineStr">
        <is>
          <t>Frontier</t>
        </is>
      </c>
      <c r="E45" s="12" t="inlineStr">
        <is>
          <t>LiPo/Li-ion power path + charger</t>
        </is>
      </c>
      <c r="F45" s="12" t="inlineStr">
        <is>
          <t>Standalone portable devices — handheld instruments, wearable health monitors, GPS trackers, remote environmental sensors, trail cameras, portable displays, and any device that can't rely on wall power.</t>
        </is>
      </c>
      <c r="G45" s="12" t="inlineStr">
        <is>
          <t>NOVEL COMBOS: Pair with solar + supercap + deep sleep for energy-autonomous nodes that harvest, store, and budget their own power indefinitely. Combine with USB-C charging + LiPo for modern rechargeable IoT devices with professional power management. INVENTION SPARK: A battery-sharing mesh network — neighboring ESP32 nodes monitor each other's battery levels via ESP-NOW; nodes with surplus energy reduce their own duty cycle and take on computation for power-starved neighbors, extending collective network lifetime.</t>
        </is>
      </c>
      <c r="H45" s="12" t="inlineStr">
        <is>
          <t>WHAT IT IS: Running the ESP32 from a rechargeable lithium battery (LiPo or Li-ion) instead of USB/wall power. These are the same batteries in your phone. Typical size for IoT: 500-2000mAh, about the size of a matchbox. HOW IT CONNECTS: You need a battery + a charge controller board. Adafruit Feather and SparkFun Thing boards have the LiPo charger built in — plug in a LiPo battery's JST connector and it just works. For DIY: use a TP4056 charge module (~$0.50) + 3.3V voltage regulator. Connect USB to charge, battery to power the ESP32. WHAT YOU DO: Monitor battery voltage via ADC: connect battery through a voltage divider (two resistors) to an ADC pin. `batteryVoltage = analogRead(pin) * 2 * 3.3 / 4095`. LiPo: 4.2V = full, 3.0V = empty. Combine with deep sleep for days-to-months of battery life.</t>
        </is>
      </c>
    </row>
    <row r="46" ht="62" customHeight="1">
      <c r="A46" s="12" t="inlineStr">
        <is>
          <t>Power &amp; Energy</t>
        </is>
      </c>
      <c r="B46" s="75" t="inlineStr">
        <is>
          <t>Solar-assisted field deployment</t>
        </is>
      </c>
      <c r="C46" s="108" t="inlineStr">
        <is>
          <t>Gap</t>
        </is>
      </c>
      <c r="D46" s="29" t="inlineStr">
        <is>
          <t>Strategic</t>
        </is>
      </c>
      <c r="E46" s="12" t="inlineStr">
        <is>
          <t>Solar charger + panel + battery</t>
        </is>
      </c>
      <c r="F46" s="12" t="inlineStr">
        <is>
          <t>Solar panels with charge controllers for permanent outdoor deployments — agricultural monitors, weather stations, trail cameras, environmental sensors, remote gate controllers in locations without grid power.</t>
        </is>
      </c>
      <c r="G46" s="12" t="inlineStr">
        <is>
          <t>NOVEL COMBOS: Pair with LoRa + GNSS + deep sleep for fully autonomous field research stations that operate indefinitely in wilderness. Combine with energy metering + MPPT tracking for solar installations that monitor their own energy production efficiency. INVENTION SPARK: A solar-powered floating water quality lab — ESP32 on a small buoy with solar panel, water quality sensors (pH, turbidity, dissolved oxygen, temperature), GNSS, and LoRa, drifting through waterways and mapping pollution in real-time.</t>
        </is>
      </c>
      <c r="H46" s="12" t="inlineStr">
        <is>
          <t>WHAT IT IS: A small solar panel (typically 5-6V, 1-2W, about the size of a playing card or postcard) charges a battery during daylight. A solar charge controller manages the charging so you don't overcharge or damage the battery. MPPT controllers extract maximum power from the panel. HOW IT CONNECTS: Solar panel → solar charge controller board (like Adafruit USB/DC/Solar Charger, ~$15, or DFRobot Solar Manager) → LiPo battery → ESP32 board. The charger handles everything: charges when sun is available, switches to battery when dark. WHAT YOU DO: Size the panel and battery for your duty cycle. Example: ESP32 waking every 15 minutes for 5 seconds uses ~0.5mAh/cycle = ~2mAh/hour. A 500mAh battery lasts ~10 days in darkness. A small solar panel recharges ~100mAh/day even in winter, so the system runs indefinitely. Monitor battery + solar voltage via ADC for diagnostics.</t>
        </is>
      </c>
    </row>
    <row r="47" ht="62" customHeight="1">
      <c r="A47" s="12" t="inlineStr">
        <is>
          <t>Power &amp; Energy</t>
        </is>
      </c>
      <c r="B47" s="75" t="inlineStr">
        <is>
          <t>Energy metering / power monitoring</t>
        </is>
      </c>
      <c r="C47" s="107" t="inlineStr">
        <is>
          <t>Covered</t>
        </is>
      </c>
      <c r="D47" s="29" t="inlineStr">
        <is>
          <t>Strategic</t>
        </is>
      </c>
      <c r="E47" s="12" t="inlineStr">
        <is>
          <t>ATM90E26/ADE7953 or CT clamps</t>
        </is>
      </c>
      <c r="F47" s="12" t="inlineStr">
        <is>
          <t>Monitor electrical consumption of appliances, circuits, or entire buildings. CT clamp sensors for non-invasive current measurement. Voltage/current/power factor logging for energy audits and cost optimization.</t>
        </is>
      </c>
      <c r="G47" s="12" t="inlineStr">
        <is>
          <t>NOVEL COMBOS: Pair with Modbus/RS-485 for reading industrial power meters and integrating into SCADA systems. Combine with TinyML + anomaly detection for identifying faulty appliances by their power signature before they fail. INVENTION SPARK: An appliance fingerprinting system — a single CT clamp on the main breaker + ESP32 ML disaggregates total household power into individual appliance usage using NILM (non-intrusive load monitoring), telling you which appliances are running and predicting failures from changing power signatures.</t>
        </is>
      </c>
      <c r="H47" s="12" t="inlineStr">
        <is>
          <t>WHAT IT IS: Non-invasively measure how much electricity something is using. A CT (Current Transformer) clamp clips around a wire without cutting it and measures the current flowing through. Combined with voltage sensing, you calculate watts, watt-hours, power factor, etc. HOW IT CONNECTS: Option A: CT clamp (~$5) clips around a wire, outputs a small voltage proportional to current. Connect to ESP32 ADC via a burden resistor. Option B: Dedicated metering IC (ATM90E26 or ADE7953 on a breakout board, ~$15-20) handles all the precision measurement. Connect via SPI or I2C to the ESP32. WHAT YOU DO: With a CT clamp + ADC: sample the voltage 1000+ times per AC cycle, calculate RMS current, multiply by mains voltage (120V/240V) = power in watts. With a metering IC: the chip does all the math for you — just read registers via `Wire.read()` to get watts, VAR, kWh, power factor, etc.</t>
        </is>
      </c>
    </row>
    <row r="48" ht="62" customHeight="1">
      <c r="A48" s="12" t="inlineStr">
        <is>
          <t>Power &amp; Energy</t>
        </is>
      </c>
      <c r="B48" s="75" t="inlineStr">
        <is>
          <t>Supercapacitor / ride-through design</t>
        </is>
      </c>
      <c r="C48" s="108" t="inlineStr">
        <is>
          <t>Gap</t>
        </is>
      </c>
      <c r="D48" s="29" t="inlineStr">
        <is>
          <t>Strategic</t>
        </is>
      </c>
      <c r="E48" s="12" t="inlineStr">
        <is>
          <t>Supercap + PMIC</t>
        </is>
      </c>
      <c r="F48" s="12" t="inlineStr">
        <is>
          <t>Provide ride-through power during brief outages, buffer high-current pulses (radio transmit bursts), and enable rapid charge/discharge cycles without battery degradation. Millions of charge cycles vs. hundreds for batteries.</t>
        </is>
      </c>
      <c r="G48" s="12" t="inlineStr">
        <is>
          <t>NOVEL COMBOS: Pair with solar + supercap for energy harvesting systems that operate even under intermittent light (cloudy days, indoor light harvesting). Combine with PoE + supercap for network devices that survive power interruptions gracefully. INVENTION SPARK: A kinetic energy harvesting IoT node — supercapacitor charges from a tiny piezo/electromagnetic generator on a vibrating machine, bridge, or vehicle, powering an ESP32 that monitors the very vibrations that feed it, creating a perpetual maintenance sensor.</t>
        </is>
      </c>
      <c r="H48" s="12" t="inlineStr">
        <is>
          <t>WHAT IT IS: Supercapacitors (supercaps) are like batteries that charge and discharge extremely fast. They store less total energy than batteries BUT can charge in seconds, survive millions of charge cycles (vs. 500 for LiPo), and deliver bursts of high current. Think of a battery as a water tank and a supercap as a water balloon. HOW IT CONNECTS: Supercaps (2.7V or 5.5V types, $1-5) connect like a battery: positive to power rail, negative to ground. For voltages above the supercap's rating, wire them in series. Often paired with a solar panel or energy harvester as the charge source, plus a low-dropout regulator (LDO) to provide stable 3.3V to the ESP32. WHAT YOU DO: Use supercaps for: (1) buffering power during Wi-Fi transmission bursts (which pull ~200mA); (2) keeping the ESP32 alive for a few seconds during power outages to save data; (3) energy harvesting systems where trickle charges accumulate over time. Size: a 1F supercap at 3.3V stores ~5.4 joules — enough to run an ESP32 for ~30 seconds.</t>
        </is>
      </c>
    </row>
    <row r="49" ht="62" customHeight="1">
      <c r="A49" s="12" t="inlineStr">
        <is>
          <t>Media &amp; Edge AI</t>
        </is>
      </c>
      <c r="B49" s="75" t="inlineStr">
        <is>
          <t>ESP32-CAM vision</t>
        </is>
      </c>
      <c r="C49" s="107" t="inlineStr">
        <is>
          <t>Covered</t>
        </is>
      </c>
      <c r="D49" s="29" t="inlineStr">
        <is>
          <t>Frontier</t>
        </is>
      </c>
      <c r="E49" s="12" t="inlineStr">
        <is>
          <t>ESP32-CAM or S3 camera board</t>
        </is>
      </c>
      <c r="F49" s="12" t="inlineStr">
        <is>
          <t>Visual monitoring and recording — security cameras, time-lapse photography, QR/barcode scanning, visual inspection, video streaming, wildlife cameras, baby monitors, doorbell cameras.</t>
        </is>
      </c>
      <c r="G49" s="12" t="inlineStr">
        <is>
          <t>NOVEL COMBOS: Pair with TinyML for on-device object detection (people, animals, vehicles) that only alerts or records when something interesting happens. Combine with ESP-NOW for a multi-camera mesh that shares visual events across a property. Pair with PSRAM for buffering high-res images for cloud upload. INVENTION SPARK: A plant growth optimization chamber — ESP32-CAM tracks plant growth rate via daily image comparison, adjusts LED spectrum (PWM), water (solenoid), and nutrient dosing based on visual health indicators, learning optimal conditions for each species.</t>
        </is>
      </c>
      <c r="H49" s="12" t="inlineStr">
        <is>
          <t>WHAT IT IS: A complete camera module — the ESP32-CAM is a ~$8 board with an ESP32 + 2MP camera (OV2640) + microSD slot all-in-one. It takes photos (1600x1200) and streams video (640x480 at 15fps) over Wi-Fi. Think of it as a $8 wireless security camera you can program. HOW IT CONNECTS: The ESP32-CAM board has the camera pre-connected. To program it: connect a USB-to-serial adapter (FTDI, ~$5) to 4 pins (VCC, GND, TX, RX) + ground GPIO0 to enter programming mode. Upload code, disconnect the adapter, power via 5V, and the camera runs. Some newer boards have USB-C built in. WHAT YOU DO: In Arduino: use the ESP32 Camera example. `camera_fb_t *fb = esp_camera_fb_get()` captures a frame into memory (PSRAM helps here). Then serve it as a JPEG over Wi-Fi: a built-in web server example gives you a live video stream viewable in any browser. Use it as a webcam, security camera, time-lapse, or QR code scanner.</t>
        </is>
      </c>
    </row>
    <row r="50" ht="62" customHeight="1">
      <c r="A50" s="12" t="inlineStr">
        <is>
          <t>Media &amp; Edge AI</t>
        </is>
      </c>
      <c r="B50" s="75" t="inlineStr">
        <is>
          <t>Thermal imaging integration</t>
        </is>
      </c>
      <c r="C50" s="107" t="inlineStr">
        <is>
          <t>Covered</t>
        </is>
      </c>
      <c r="D50" s="29" t="inlineStr">
        <is>
          <t>Frontier</t>
        </is>
      </c>
      <c r="E50" s="12" t="inlineStr">
        <is>
          <t>MLX90640 / FLIR Lepton</t>
        </is>
      </c>
      <c r="F50" s="12" t="inlineStr">
        <is>
          <t>Non-contact temperature measurement, thermal imaging for building inspections, HVAC analysis, fever screening, electrical fault detection, wildlife observation at night, search and rescue.</t>
        </is>
      </c>
      <c r="G50" s="12" t="inlineStr">
        <is>
          <t>NOVEL COMBOS: Pair with ESP32-CAM for combined visual+thermal overlay imaging for richer scene understanding. Combine with TinyML for thermal anomaly classification (hot bearing, electrical fault, body fever) on-device. INVENTION SPARK: A firefighter's smart helmet visor — thermal imaging overlay on a transparent display shows heat signatures through smoke, ESP-NOW mesh shares thermal maps between team members, and edge AI identifies human body shapes in thermal data for rescue prioritization.</t>
        </is>
      </c>
      <c r="H50" s="12" t="inlineStr">
        <is>
          <t>WHAT IT IS: A sensor that 'sees' heat instead of light. The MLX90640 (~$30-50) gives you a 32x24 pixel thermal image showing the temperature of everything in its field of view. The FLIR Lepton (~$150-200) is higher resolution (80x60 or 160x120). They see through darkness and light smoke. HOW IT CONNECTS: MLX90640: connects via I2C (4 wires: VCC, GND, SDA, SCL). Just plug it into a Qwiic/STEMMA cable. Refresh rate: 1-16 frames/sec. FLIR Lepton: connects via SPI for image data + I2C for commands (more wires, more complex). Both are small (~1cm). WHAT YOU DO: For MLX90640: use the SparkFun MLX90640 library. `mlx.getFrame(frame)` fills an array with 768 temperature values (32x24 grid). Display on a TFT screen with color mapping (blue=cold, red=hot). Use it to find heat leaks in buildings, check if equipment is overheating, or detect people/animals by their body heat in total darkness.</t>
        </is>
      </c>
    </row>
    <row r="51" ht="62" customHeight="1">
      <c r="A51" s="12" t="inlineStr">
        <is>
          <t>Media &amp; Edge AI</t>
        </is>
      </c>
      <c r="B51" s="75" t="inlineStr">
        <is>
          <t>Wake word / audio classification</t>
        </is>
      </c>
      <c r="C51" s="107" t="inlineStr">
        <is>
          <t>Covered</t>
        </is>
      </c>
      <c r="D51" s="29" t="inlineStr">
        <is>
          <t>Frontier</t>
        </is>
      </c>
      <c r="E51" s="12" t="inlineStr">
        <is>
          <t>I2S MEMS mic + ESP32-S3</t>
        </is>
      </c>
      <c r="F51" s="12" t="inlineStr">
        <is>
          <t>Offline voice assistants, keyword spotting for hands-free device activation, sound event detection (glass breaking, baby crying, dog barking, smoke alarm), audio-based security monitoring.</t>
        </is>
      </c>
      <c r="G51" s="12" t="inlineStr">
        <is>
          <t>NOVEL COMBOS: Pair with ESP-NOW for a whole-house voice command mesh where any room can hear wake words and route commands to the right device. Combine with I2S mic array + DSP for beamforming and noise-cancellation in noisy environments. INVENTION SPARK: A sonic pest deterrent that listens and adapts — classifies which pest species (rodent, bird, insect) is present via audio ML, then generates species-specific ultrasonic deterrent frequencies, learning which patterns are most effective over time.</t>
        </is>
      </c>
      <c r="H51" s="12" t="inlineStr">
        <is>
          <t>WHAT IT IS: The ESP32 listens through a microphone and recognizes specific words or sounds using a tiny AI model running locally (no internet needed). 'Wake word' = a trigger phrase like 'Hey Computer' that activates the device. 'Audio classification' = identifying sounds (glass breaking, dog barking, baby crying). HOW IT CONNECTS: Connect an I2S MEMS microphone (INMP441, ~$3) to the ESP32-S3 via 4 wires (BCLK, WS, DOUT, plus VCC/GND). The S3 is recommended for its vector DSP which speeds up the AI math. WHAT YOU DO: Train a model using Edge Impulse (free web tool): record examples of your wake word and background noise, click 'train', download the model, and deploy it to the ESP32. The model runs in a loop, continuously analyzing audio chunks. When it detects the wake word with high confidence, it triggers an action (turn on a light, start recording, etc.).</t>
        </is>
      </c>
    </row>
    <row r="52" ht="62" customHeight="1">
      <c r="A52" s="12" t="inlineStr">
        <is>
          <t>Media &amp; Edge AI</t>
        </is>
      </c>
      <c r="B52" s="75" t="inlineStr">
        <is>
          <t>TinyML inference on-device</t>
        </is>
      </c>
      <c r="C52" s="107" t="inlineStr">
        <is>
          <t>Covered</t>
        </is>
      </c>
      <c r="D52" s="29" t="inlineStr">
        <is>
          <t>Frontier</t>
        </is>
      </c>
      <c r="E52" s="12" t="inlineStr">
        <is>
          <t>ESP32-S3 board</t>
        </is>
      </c>
      <c r="F52" s="12" t="inlineStr">
        <is>
          <t>Run ML models directly on the microcontroller — gesture recognition, anomaly detection, predictive maintenance, audio classification, image classification, keyword spotting. No cloud needed, preserving privacy and enabling offline AI.</t>
        </is>
      </c>
      <c r="G52" s="12" t="inlineStr">
        <is>
          <t>NOVEL COMBOS: Pair with sensor fusion (IMU + environmental + audio) for rich context-aware AI that understands complex situations from multiple data streams. Combine with OTA updates for models that improve over time as new training data becomes available. INVENTION SPARK: A personalized health early-warning wearable — TinyML on ESP32-S3 fuses data from heart rate, SpO2, skin temperature, and accelerometer, learning your personal baseline patterns and detecting subtle deviations that might indicate onset of illness hours before symptoms appear.</t>
        </is>
      </c>
      <c r="H52" s="12" t="inlineStr">
        <is>
          <t>WHAT IT IS: TinyML = running machine learning (AI) models directly on the microcontroller, with no cloud or internet. The ESP32-S3 can run small neural networks that recognize images, sounds, gestures, anomalies, and sensor patterns. 'Inference' = feeding data into a trained model and getting a prediction. HOW IT CONNECTS: No extra hardware needed beyond the ESP32-S3 board itself (with PSRAM for larger models). The ML model is embedded in the firmware. WHAT YOU DO: (1) Collect training data (e.g., photos of 'good' vs 'defective' widgets). (2) Train a model using Edge Impulse or TensorFlow Lite (done on your PC/cloud). (3) Export the model as a C array. (4) Include it in your ESP32 firmware. (5) In your code: feed sensor data into the model, get a prediction in ~50-200ms. Example: feed a camera image → model outputs 'cat' with 95% confidence. All runs locally, privately, offline.</t>
        </is>
      </c>
    </row>
    <row r="53" ht="62" customHeight="1">
      <c r="A53" s="12" t="inlineStr">
        <is>
          <t>Media &amp; Edge AI</t>
        </is>
      </c>
      <c r="B53" s="75" t="inlineStr">
        <is>
          <t>Quantization / model optimization</t>
        </is>
      </c>
      <c r="C53" s="108" t="inlineStr">
        <is>
          <t>Gap</t>
        </is>
      </c>
      <c r="D53" s="29" t="inlineStr">
        <is>
          <t>Frontier</t>
        </is>
      </c>
      <c r="E53" s="12" t="inlineStr">
        <is>
          <t>ESP-NN / TensorFlow Lite Micro toolchain</t>
        </is>
      </c>
      <c r="F53" s="12" t="inlineStr">
        <is>
          <t>Optimize neural network models to fit within MCU constraints — int8/int16 quantization reduces model size 4-8x with minimal accuracy loss. Essential for deploying useful AI on resource-constrained edge devices.</t>
        </is>
      </c>
      <c r="G53" s="12" t="inlineStr">
        <is>
          <t>NOVEL COMBOS: Pair with PSRAM + S3 vector DSP for running larger quantized models with acceptable latency. Combine with OTA updates + fleet observability for deploying improved quantized models across device fleets. INVENTION SPARK: A collaborative federated learning edge network — each ESP32 node trains on local data, quantizes model updates to fit in ESP-NOW packets, and shares compressed gradients with peers, creating a privacy-preserving distributed AI that learns collectively without any data leaving the devices.</t>
        </is>
      </c>
      <c r="H53" s="12" t="inlineStr">
        <is>
          <t>WHAT IT IS: ML models use numbers with decimal points (32-bit floats), which are big and slow on a microcontroller. Quantization converts them to smaller integers (8-bit or 16-bit) — shrinking the model 4-8x and speeding it up 2-4x, with minimal accuracy loss (typically &lt;1%). HOW IT CONNECTS: This is a software/toolchain step, not a hardware thing. You do it on your PC before deploying to the ESP32. WHAT YOU DO: (1) Train your model normally in TensorFlow/PyTorch on your PC. (2) Use TensorFlow Lite's post-training quantization tool: `converter.optimizations = [tf.lite.Optimize.DEFAULT]` converts 32-bit floats to 8-bit integers. (3) The quantized .tflite model file is 4x smaller and runs 2-4x faster on the ESP32. A model that was 1MB becomes 250KB; inference that took 500ms takes 150ms. Essential for fitting useful AI into 4-8MB of flash.</t>
        </is>
      </c>
    </row>
    <row r="54" ht="62" customHeight="1">
      <c r="A54" s="12" t="inlineStr">
        <is>
          <t>Media &amp; Edge AI</t>
        </is>
      </c>
      <c r="B54" s="75" t="inlineStr">
        <is>
          <t>Sensor fusion / virtual sensing</t>
        </is>
      </c>
      <c r="C54" s="107" t="inlineStr">
        <is>
          <t>Covered</t>
        </is>
      </c>
      <c r="D54" s="29" t="inlineStr">
        <is>
          <t>Frontier</t>
        </is>
      </c>
      <c r="E54" s="12" t="inlineStr">
        <is>
          <t>IMU + environment + software stack</t>
        </is>
      </c>
      <c r="F54" s="12" t="inlineStr">
        <is>
          <t>Combine IMU (accelerometer+gyroscope), magnetometer, barometer, GPS, and environmental sensors into a unified world model. Dead reckoning navigation, gesture recognition, activity detection, attitude estimation for drones/robots.</t>
        </is>
      </c>
      <c r="G54" s="12" t="inlineStr">
        <is>
          <t>NOVEL COMBOS: Pair with UWB + IMU for seamless indoor/outdoor positioning that switches between GPS and UWB+IMU dead reckoning. Combine with TinyML for context-aware devices that know if they're being carried, driven, stationary, falling, or in specific postures. INVENTION SPARK: A micro-drone navigation module — sensor fusion of IMU, barometer, optical flow (downward camera), and UWB ranging provides GPS-free 3D navigation indoors, enabling autonomous warehouse drones that navigate between shelving aisles with centimeter accuracy.</t>
        </is>
      </c>
      <c r="H54" s="12" t="inlineStr">
        <is>
          <t>WHAT IT IS: Sensor fusion = combining data from multiple sensors mathematically to create information none of them could provide alone. Example: an IMU (accelerometer + gyroscope) gives raw acceleration and rotation. Fusion algorithms combine these into smooth orientation (pitch, roll, yaw), compensating for each sensor's weaknesses. HOW IT CONNECTS: Connect an IMU module (MPU6050 ~$3 or BNO055 ~$25) via I2C. Add a magnetometer (compass) for heading. Add a barometer (BMP280, ~$3) for altitude. Add GPS for absolute position. All on the same I2C bus — just daisy-chain them with Qwiic cables. WHAT YOU DO: The BNO055 does fusion internally — just read `bno.getVector(Adafruit_BNO055::VECTOR_EULER)` for heading/pitch/roll. For raw sensors like MPU6050: use a Madgwick or Kalman filter library that combines accel + gyro + magnetometer into a smooth orientation estimate. The math compensates for gyro drift, accel noise, and magnetic interference.</t>
        </is>
      </c>
    </row>
    <row r="55" ht="62" customHeight="1">
      <c r="A55" s="12" t="inlineStr">
        <is>
          <t>Media &amp; Edge AI</t>
        </is>
      </c>
      <c r="B55" s="75" t="inlineStr">
        <is>
          <t>Edge anomaly detection</t>
        </is>
      </c>
      <c r="C55" s="107" t="inlineStr">
        <is>
          <t>Covered</t>
        </is>
      </c>
      <c r="D55" s="29" t="inlineStr">
        <is>
          <t>Frontier</t>
        </is>
      </c>
      <c r="E55" s="12" t="inlineStr">
        <is>
          <t>Sensor stack + local model</t>
        </is>
      </c>
      <c r="F55" s="12" t="inlineStr">
        <is>
          <t>Detect unusual patterns in sensor data without labeled training data — machine vibration anomalies, unusual power consumption, environmental excursions, network traffic anomalies. Predictive maintenance without domain expertise.</t>
        </is>
      </c>
      <c r="G55" s="12" t="inlineStr">
        <is>
          <t>NOVEL COMBOS: Pair with CAN bus for vehicle health monitoring that learns normal engine patterns and alerts on deviations. Combine with I2C sensor arrays + edge anomaly detection for multi-parameter industrial process monitoring. INVENTION SPARK: A self-learning building immune system — ESP32 nodes throughout a building learn the normal patterns of HVAC airflow, electrical loads, water pressure, and vibration, detecting and diagnosing emerging problems (failing pump, clogged filter, water leak) before humans notice symptoms.</t>
        </is>
      </c>
      <c r="H55" s="12" t="inlineStr">
        <is>
          <t>WHAT IT IS: Anomaly detection = the device learns what 'normal' looks like (normal vibration pattern, normal temperature range, normal power consumption), and then flags anything that deviates from normal. No need to teach it what 'bad' looks like — it just detects 'different from usual'. HOW IT CONNECTS: Connect whatever sensors measure the thing you want to monitor: accelerometer for vibration, CT clamp for power, thermocouple for temperature, microphone for sound. Sensor → ESP32 via I2C/SPI/ADC as usual. WHAT YOU DO: (1) Use Edge Impulse's 'anomaly detection' mode: record a few minutes of 'normal' data. (2) The tool creates a model that maps the normal space. (3) Deploy to ESP32. (4) In operation, the model scores each new data window: 0 = normal, high number = anomaly. No need to label failures or know what problems look like in advance. The system learns normal and alerts you when something is off.</t>
        </is>
      </c>
    </row>
    <row r="56" ht="62" customHeight="1">
      <c r="A56" s="12" t="inlineStr">
        <is>
          <t>Security &amp; Trust</t>
        </is>
      </c>
      <c r="B56" s="75" t="inlineStr">
        <is>
          <t>Secure boot</t>
        </is>
      </c>
      <c r="C56" s="108" t="inlineStr">
        <is>
          <t>Gap</t>
        </is>
      </c>
      <c r="D56" s="29" t="inlineStr">
        <is>
          <t>Frontier</t>
        </is>
      </c>
      <c r="E56" s="12" t="inlineStr">
        <is>
          <t>ESP32-S3/C6 production-capable module</t>
        </is>
      </c>
      <c r="F56" s="12" t="inlineStr">
        <is>
          <t>Prevent unauthorized firmware from running on the device. Essential for commercial products, medical devices, industrial controllers, and any deployment where tampered firmware could cause harm or data theft.</t>
        </is>
      </c>
      <c r="G56" s="12" t="inlineStr">
        <is>
          <t>NOVEL COMBOS: Pair with flash encryption + signed OTA for a complete chain-of-trust from manufacturing through lifetime updates. Combine with Matter/Thread for commercially certified smart home devices that meet industry security standards. INVENTION SPARK: A tamper-evident pharmaceutical cold chain monitor — secure boot ensures the firmware logging temperature data hasn't been manipulated, providing legally admissible proof that vaccines/medicines maintained correct storage conditions throughout the supply chain.</t>
        </is>
      </c>
      <c r="H56" s="12" t="inlineStr">
        <is>
          <t>WHAT IT IS: Secure boot = the ESP32 checks the cryptographic signature of the firmware before running it. If someone replaces your firmware with a tampered version, the chip refuses to boot. It's like a seal on a medicine bottle — if the seal is broken, you know something is wrong. HOW IT CONNECTS: No extra hardware. It's a one-time configuration burned into the ESP32's internal fuses (eFuse) during manufacturing setup. Once enabled, it CANNOT be disabled (permanent). WHAT YOU DO: (1) Generate a signing key on your PC: `espsecure.py generate_signing_key key.pem`. (2) Configure ESP-IDF to sign firmware with this key. (3) Burn the public key hash into the ESP32's eFuse: `espefuse.py burn_key SECURE_BOOT_KEY key.bin`. (4) From now on, only firmware signed by your private key will boot. WARNING: If you lose the key, the chip is permanently bricked. Use this only for production devices.</t>
        </is>
      </c>
    </row>
    <row r="57" ht="62" customHeight="1">
      <c r="A57" s="12" t="inlineStr">
        <is>
          <t>Security &amp; Trust</t>
        </is>
      </c>
      <c r="B57" s="75" t="inlineStr">
        <is>
          <t>Flash encryption</t>
        </is>
      </c>
      <c r="C57" s="108" t="inlineStr">
        <is>
          <t>Gap</t>
        </is>
      </c>
      <c r="D57" s="29" t="inlineStr">
        <is>
          <t>Frontier</t>
        </is>
      </c>
      <c r="E57" s="12" t="inlineStr">
        <is>
          <t>ESP32 module + ESP-IDF</t>
        </is>
      </c>
      <c r="F57" s="12" t="inlineStr">
        <is>
          <t>Protect intellectual property and sensitive data stored on the device — encryption keys, proprietary algorithms, user credentials, configuration secrets. Prevents firmware extraction and cloning.</t>
        </is>
      </c>
      <c r="G57" s="12" t="inlineStr">
        <is>
          <t>NOVEL COMBOS: Pair with secure boot + hardware unique ID for unclonable devices that can prove their authenticity. Combine with NVS encryption for double-layer data protection where even physical access to the flash chip reveals nothing. INVENTION SPARK: A secure voting/polling terminal — flash encryption protects ballot logic and accumulated votes from physical tampering, combined with secure boot ensuring only audited firmware runs, creating a trustworthy electronic voting node for community governance.</t>
        </is>
      </c>
      <c r="H57" s="12" t="inlineStr">
        <is>
          <t>WHAT IT IS: Flash encryption = all the data stored in the ESP32's flash memory (firmware code, credentials, algorithms) is encrypted with AES-256. Even if someone physically desolders the flash chip and reads it with a programmer, they get meaningless encrypted data. HOW IT CONNECTS: No extra hardware. Like secure boot, it's enabled by burning eFuses inside the ESP32 chip. The encryption/decryption is done by hardware transparently — the CPU sees normal data, but the physical flash contains ciphertext. WHAT YOU DO: (1) In ESP-IDF menuconfig, enable 'Enable flash encryption on boot'. (2) First boot: the ESP32 auto-generates a random key, encrypts the flash, and burns the key into eFuses. (3) All subsequent reads/writes are automatically encrypted/decrypted. Your code doesn't change at all — it's completely transparent. WARNING: like secure boot, some eFuse settings are PERMANENT. Test thoroughly in 'development mode' before switching to 'release mode'.</t>
        </is>
      </c>
    </row>
    <row r="58" ht="62" customHeight="1">
      <c r="A58" s="12" t="inlineStr">
        <is>
          <t>Security &amp; Trust</t>
        </is>
      </c>
      <c r="B58" s="75" t="inlineStr">
        <is>
          <t>TLS / certificate auth</t>
        </is>
      </c>
      <c r="C58" s="107" t="inlineStr">
        <is>
          <t>Covered</t>
        </is>
      </c>
      <c r="D58" s="29" t="inlineStr">
        <is>
          <t>Frontier</t>
        </is>
      </c>
      <c r="E58" s="12" t="inlineStr">
        <is>
          <t>ESP32 module + credential store</t>
        </is>
      </c>
      <c r="F58" s="12" t="inlineStr">
        <is>
          <t>Secure HTTPS/MQTTS connections to cloud services, encrypted data transmission, mutual authentication between device and server, preventing man-in-the-middle attacks. Standard for any internet-connected IoT device.</t>
        </is>
      </c>
      <c r="G58" s="12" t="inlineStr">
        <is>
          <t>NOVEL COMBOS: Pair with OTA + TLS for encrypted firmware delivery that prevents supply-chain attacks. Combine with RMII ethernet + TLS for industrial-grade secure wired communication in factory environments. INVENTION SPARK: A zero-trust IoT mesh — every ESP32 node authenticates to every other node via mutual TLS with unique certificates, creating an unhackable peer-to-peer network where compromising one node cannot compromise others.</t>
        </is>
      </c>
      <c r="H58" s="12" t="inlineStr">
        <is>
          <t>WHAT IT IS: TLS = Transport Layer Security (the padlock icon in your browser). When the ESP32 talks to a server over the internet, TLS encrypts the conversation so nobody can eavesdrop. Certificate authentication = both sides prove their identity using cryptographic certificates (like a digital passport). HOW IT CONNECTS: No extra hardware — it's software running on the ESP32's built-in crypto accelerator. You do need enough RAM (~40KB) for the TLS handshake. WHAT YOU DO: In Arduino: use WiFiClientSecure. `client.setCACert(rootCA)` sets the server's certificate. `client.connect("api.example.com", 443)` makes an encrypted HTTPS connection. The ESP32 verifies the server's identity, establishes an encrypted tunnel, and all data flows encrypted. For MQTT: use PubSubClient with WiFiClientSecure for encrypted MQTT (MQTTS on port 8883). Same concept: encrypted + authenticated.</t>
        </is>
      </c>
    </row>
    <row r="59" ht="62" customHeight="1">
      <c r="A59" s="12" t="inlineStr">
        <is>
          <t>Security &amp; Trust</t>
        </is>
      </c>
      <c r="B59" s="75" t="inlineStr">
        <is>
          <t>Hardware unique identity / provisioning</t>
        </is>
      </c>
      <c r="C59" s="108" t="inlineStr">
        <is>
          <t>Gap</t>
        </is>
      </c>
      <c r="D59" s="29" t="inlineStr">
        <is>
          <t>Frontier</t>
        </is>
      </c>
      <c r="E59" s="12" t="inlineStr">
        <is>
          <t>ESP32 module + manufacturing flow</t>
        </is>
      </c>
      <c r="F59" s="12" t="inlineStr">
        <is>
          <t>Give each device a unique, unforgeable identity derived from hardware — device authentication, anti-counterfeiting, secure manufacturing provisioning, license management, and device-to-cloud trust establishment.</t>
        </is>
      </c>
      <c r="G59" s="12" t="inlineStr">
        <is>
          <t>NOVEL COMBOS: Pair with secure boot + flash encryption for a triple-layer security stack (identity + boot integrity + data protection). Combine with BLE + hardware ID for devices that prove their authenticity to nearby phones without cloud connectivity. INVENTION SPARK: A supply chain authenticity network — each product embeds an ESP32 with hardware-unique identity; scanning it with a phone verifies authenticity through a blockchain-anchored certificate chain, eliminating counterfeiting for high-value goods (pharmaceuticals, luxury items, critical components).</t>
        </is>
      </c>
      <c r="H59" s="12" t="inlineStr">
        <is>
          <t>WHAT IT IS: Every ESP32 chip has unique numbers burned into it at the factory that cannot be changed or cloned: a MAC address (network ID) and eFuse data. A hardware unique identity takes this further by generating a cryptographic key pair from these hardware secrets, giving each device an unforgeable digital identity. HOW IT CONNECTS: No extra hardware — the unique identity is inside every ESP32 chip. For stronger identity, you can add an external secure element chip (ATECC608A, ~$3) which stores keys in tamper-resistant hardware. Connect via I2C. WHAT YOU DO: Read the built-in unique ID: `esp_efuse_mac_get_default(mac)` gives a 6-byte unique MAC. For production: use the Espressif Secure Manufacturing tools to generate a unique certificate per device during factory flashing, stored in encrypted NVS. Each device can then prove 'I am device #12345' to a server using public-key cryptography.</t>
        </is>
      </c>
    </row>
    <row r="60" ht="62" customHeight="1">
      <c r="A60" s="12" t="inlineStr">
        <is>
          <t>Security &amp; Trust</t>
        </is>
      </c>
      <c r="B60" s="75" t="inlineStr">
        <is>
          <t>Signed OTA updates</t>
        </is>
      </c>
      <c r="C60" s="108" t="inlineStr">
        <is>
          <t>Gap</t>
        </is>
      </c>
      <c r="D60" s="29" t="inlineStr">
        <is>
          <t>Frontier</t>
        </is>
      </c>
      <c r="E60" s="12" t="inlineStr">
        <is>
          <t>ESP32 module + OTA server</t>
        </is>
      </c>
      <c r="F60" s="12" t="inlineStr">
        <is>
          <t>Push firmware updates securely to deployed devices without physical access. Signature verification ensures only authorized updates are applied, preventing malicious firmware injection in the field.</t>
        </is>
      </c>
      <c r="G60" s="12" t="inlineStr">
        <is>
          <t>NOVEL COMBOS: Pair with device fleet observability for managed rollouts with health monitoring — update 10% of fleet, verify stability, then roll out broadly. Combine with QSPI dual partitions for fail-safe updates with automatic rollback on boot failure. INVENTION SPARK: An evolving AI sensor fleet — signed OTA delivers new TinyML models monthly to thousands of edge devices, each generation smarter than the last, with fleet telemetry confirming model performance before wider deployment — a self-improving distributed intelligence.</t>
        </is>
      </c>
      <c r="H60" s="12" t="inlineStr">
        <is>
          <t>WHAT IT IS: OTA = Over The Air updates. Instead of physically plugging in each device to update its software, you push new firmware over Wi-Fi. 'Signed' OTA means the firmware is cryptographically signed — the device verifies the signature before installing, so nobody can push malicious firmware to your devices. HOW IT CONNECTS: No extra hardware. The ESP32 needs Wi-Fi connectivity and QSPI flash with dual OTA partitions (standard in ESP-IDF). You need a server (could be your own PC, a cloud bucket like AWS S3, or a proper OTA platform) hosting the firmware files. WHAT YOU DO: (1) Sign firmware with your private key: `espsecure.py sign_data firmware.bin key.pem`. (2) Upload to your server. (3) ESP32 code checks for updates periodically: `httpUpdate.update(url)`. The device downloads the new firmware, verifies the signature, writes it to the backup partition, reboots into it. If the new firmware crashes, it auto-rolls back to the old one.</t>
        </is>
      </c>
    </row>
    <row r="61" ht="62" customHeight="1">
      <c r="A61" s="12" t="inlineStr">
        <is>
          <t>Security &amp; Trust</t>
        </is>
      </c>
      <c r="B61" s="75" t="inlineStr">
        <is>
          <t>Watchdogs / brownout resilience</t>
        </is>
      </c>
      <c r="C61" s="108" t="inlineStr">
        <is>
          <t>Gap</t>
        </is>
      </c>
      <c r="D61" s="29" t="inlineStr">
        <is>
          <t>Frontier</t>
        </is>
      </c>
      <c r="E61" s="12" t="inlineStr">
        <is>
          <t>ESP32 board + power integrity design</t>
        </is>
      </c>
      <c r="F61" s="12" t="inlineStr">
        <is>
          <t>Automatic recovery from software crashes, power glitches, and stuck states. Watchdog timers reboot unresponsive devices. Brownout detection prevents operation with insufficient voltage that could corrupt data.</t>
        </is>
      </c>
      <c r="G61" s="12" t="inlineStr">
        <is>
          <t>NOVEL COMBOS: Pair with supercapacitor for graceful shutdown sequences that save state to NVS before power dies. Combine with remote logging for devices that report their own crash dumps and power events to a central monitoring system. INVENTION SPARK: A self-healing infrastructure mesh — each node monitors its own health via watchdogs and neighbor health via ESP-NOW heartbeats. When a node detects its own impending failure (brownout), it transfers its critical state to healthy neighbors before resetting, achieving collective resilience.</t>
        </is>
      </c>
      <c r="H61" s="12" t="inlineStr">
        <is>
          <t>WHAT IT IS: A watchdog timer is a countdown clock that reboots the chip if your code stops feeding it. Think of a dead man's switch: your code must periodically say 'I'm alive' or the watchdog assumes the software has crashed and forces a reset. Brownout detection = the chip detects when voltage drops too low (e.g., weak battery) and cleanly shuts down before corrupted data gets written. HOW IT CONNECTS: Both are built into the ESP32 hardware — no extra components. For better brownout handling, add a capacitor (100μF-1000μF) on the power line to buffer brief voltage dips. WHAT YOU DO: Watchdog: `esp_task_wdt_init(timeout_sec, true)` initializes the watchdog, then call `esp_task_wdt_reset()` in your main loop. If your code hangs and doesn't call reset within the timeout, the chip reboots itself. Brownout: configured in ESP-IDF menuconfig — set the voltage threshold (default ~2.43V). When voltage drops below this, the chip resets cleanly instead of running with corrupted RAM.</t>
        </is>
      </c>
    </row>
    <row r="62" ht="62" customHeight="1">
      <c r="A62" s="12" t="inlineStr">
        <is>
          <t>Human Interfaces</t>
        </is>
      </c>
      <c r="B62" s="75" t="inlineStr">
        <is>
          <t>OLED / LCD / touch HMI</t>
        </is>
      </c>
      <c r="C62" s="107" t="inlineStr">
        <is>
          <t>Covered</t>
        </is>
      </c>
      <c r="D62" s="29" t="inlineStr">
        <is>
          <t>Strategic</t>
        </is>
      </c>
      <c r="E62" s="12" t="inlineStr">
        <is>
          <t>SPI TFT/OLED or smart display</t>
        </is>
      </c>
      <c r="F62" s="12" t="inlineStr">
        <is>
          <t>Visual feedback for any device — sensor readouts, menus, dashboards, charts, status indicators, configuration screens. Touch TFTs enable fully interactive GUI without physical buttons. From simple OLEDs for status to full-color touch screens for rich UIs.</t>
        </is>
      </c>
      <c r="G62" s="12" t="inlineStr">
        <is>
          <t>NOVEL COMBOS: Pair with Wi-Fi AP + web server for dual-interface devices with both a physical screen and a phone-accessible web dashboard. Combine with sensor fusion + display for portable handheld instruments with real-time graphing. INVENTION SPARK: An augmented reality maintenance monocle — tiny OLED near-eye display on a head-mount shows real-time sensor data overlaid on equipment being serviced, with BLE connecting to diagnostic tools and CAN bus reading vehicle data.</t>
        </is>
      </c>
      <c r="H62" s="12" t="inlineStr">
        <is>
          <t>WHAT IT IS: Small electronic screens that display text, graphics, and touchable buttons. OLED = tiny bright screens (0.96-1.3 inch, ~$5), great for status info. LCD/TFT = larger color screens (1.8-3.5 inch, ~$8-15), can show dashboards and photos. Touch versions have an invisible touch layer on top. HOW IT CONNECTS: OLEDs: usually I2C (4 wires: VCC, GND, SDA, SCL). TFT screens: SPI (6+ wires: MOSI, CLK, CS, DC, RST, plus VCC/GND). Touch adds 1-3 more wires. Pre-made boards (like WT32-SC01 or M5Stack) have screen + ESP32 on one board. WHAT YOU DO: For OLED: `display.drawString(0, 0, "Temp: 23.5C")` with the SSD1306 library. For TFT: use TFT_eSPI or LovyanGFX libraries for graphics, charts, and buttons. Touch: `tft.getTouch(&amp;x, &amp;y)` detects finger position. With LVGL library, you can build phone-like GUIs with buttons, sliders, and menus.</t>
        </is>
      </c>
    </row>
    <row r="63" ht="62" customHeight="1">
      <c r="A63" s="12" t="inlineStr">
        <is>
          <t>Human Interfaces</t>
        </is>
      </c>
      <c r="B63" s="75" t="inlineStr">
        <is>
          <t>ePaper low-power displays</t>
        </is>
      </c>
      <c r="C63" s="107" t="inlineStr">
        <is>
          <t>Covered</t>
        </is>
      </c>
      <c r="D63" s="29" t="inlineStr">
        <is>
          <t>Strategic</t>
        </is>
      </c>
      <c r="E63" s="12" t="inlineStr">
        <is>
          <t>Waveshare/GoodDisplay ePaper</t>
        </is>
      </c>
      <c r="F63" s="12" t="inlineStr">
        <is>
          <t>Ultra-low-power displays that retain image without power — shelf labels, e-readers, outdoor signage, status boards, calendar displays, name badges, and any display that updates infrequently. Perfect for battery-powered applications.</t>
        </is>
      </c>
      <c r="G63" s="12" t="inlineStr">
        <is>
          <t>NOVEL COMBOS: Pair with deep sleep + Wi-Fi for displays that wake periodically to fetch and render new content (weather, calendar, news, art). Combine with NFC + ePaper for smart tags that update when tapped with a phone. INVENTION SPARK: A living art frame network — ePaper frames throughout a home display AI-generated art that changes based on time of day, weather, season, and occupant mood (detected via environmental sensors), consuming virtually zero power between updates.</t>
        </is>
      </c>
      <c r="H63" s="12" t="inlineStr">
        <is>
          <t>WHAT IT IS: ePaper (e-ink) = the same screen technology as a Kindle. The display holds its image with ZERO power — you can unplug it and the image stays. Only uses power when changing the image. Perfect for things you update rarely (every few minutes to hours). Black/white, or some models have red or yellow accent color. HOW IT CONNECTS: SPI interface (6 wires: MOSI, CLK, CS, DC, RST, BUSY + VCC/GND). Waveshare and Good Display are the main suppliers (~$10-25). Available in sizes from 1.54" to 13.3". Some have Qwiic/header connectors for easy wiring. WHAT YOU DO: Use GxEPD2 library. `display.drawBitmap(...)` or `display.print("Hello")`. Call `display.display()` and the screen refreshes (takes 1-3 seconds for full refresh, which is the main limitation — no video). After refresh, power it down. The image stays forever. Ideal for: shelf labels, weather displays, calendar boards, name tags, battery-powered status displays.</t>
        </is>
      </c>
    </row>
    <row r="64" ht="62" customHeight="1">
      <c r="A64" s="12" t="inlineStr">
        <is>
          <t>Human Interfaces</t>
        </is>
      </c>
      <c r="B64" s="75" t="inlineStr">
        <is>
          <t>Audio playback / voice UI</t>
        </is>
      </c>
      <c r="C64" s="107" t="inlineStr">
        <is>
          <t>Covered</t>
        </is>
      </c>
      <c r="D64" s="29" t="inlineStr">
        <is>
          <t>Strategic</t>
        </is>
      </c>
      <c r="E64" s="12" t="inlineStr">
        <is>
          <t>I2S DAC/amp + speaker</t>
        </is>
      </c>
      <c r="F64" s="12" t="inlineStr">
        <is>
          <t>Voice announcements, alerts, music playback, text-to-speech output, intercom systems, talking clocks/thermometers, audio guides, and accessibility features for visually impaired users.</t>
        </is>
      </c>
      <c r="G64" s="12" t="inlineStr">
        <is>
          <t>NOVEL COMBOS: Pair with wake word + TTS for a fully offline voice assistant that listens and speaks without internet. Combine with BLE + audio for wireless speaker systems managed from a phone. INVENTION SPARK: A context-aware spatial audio guide for museums/galleries — BLE beacons detect visitor position, ESP32 nodes deliver proximity-triggered audio descriptions through directional speakers, adapting language and detail level based on visitor profile stored in their phone app.</t>
        </is>
      </c>
      <c r="H64" s="12" t="inlineStr">
        <is>
          <t>WHAT IT IS: Making the ESP32 talk and play audio through a speaker. Text-to-speech (TTS) converts text strings into spoken words. Audio playback plays WAV/MP3 files. You need a speaker and a way to drive it (amplifier). HOW IT CONNECTS: Connect a MAX98357 I2S amplifier breakout (~$5) via I2S (3 wires: BCLK, LRC, DIN + VCC/GND). Then connect any small speaker (4Ω or 8Ω) to the amplifier's speaker terminals. The MAX98357 handles amplification and converts digital audio to drive the speaker. WHAT YOU DO: For audio playback: store WAV files in SPIFFS/SD card, use the ESP8266Audio library. `audio.connecttoFS(SD, "/alarm.wav")` plays a file. For TTS: use the ESP32-SAM or Flite library for offline speech synthesis. For alerts: generate simple tones with `tone()` function. Quality is surprisingly good for a $5 amp board.</t>
        </is>
      </c>
    </row>
    <row r="65" ht="62" customHeight="1">
      <c r="A65" s="12" t="inlineStr">
        <is>
          <t>Human Interfaces</t>
        </is>
      </c>
      <c r="B65" s="75" t="inlineStr">
        <is>
          <t>Haptics / buzzers / indicators</t>
        </is>
      </c>
      <c r="C65" s="108" t="inlineStr">
        <is>
          <t>Gap</t>
        </is>
      </c>
      <c r="D65" s="29" t="inlineStr">
        <is>
          <t>Low</t>
        </is>
      </c>
      <c r="E65" s="12" t="inlineStr">
        <is>
          <t>Buzzer or haptic driver</t>
        </is>
      </c>
      <c r="F65" s="12" t="inlineStr">
        <is>
          <t>Tactile confirmation of button presses, alerts, and notifications. Buzzers for alarms, timers, and attention-getting. LED indicators for status, warnings, and feedback. Essential for user experience polish.</t>
        </is>
      </c>
      <c r="G65" s="12" t="inlineStr">
        <is>
          <t>NOVEL COMBOS: Pair with capacitive touch + haptics for responsive touch surfaces that feel like physical buttons. Combine with BLE wearable + haptic motor for silent notification devices (navigation buzzes, meeting alerts, health warnings). INVENTION SPARK: A haptic navigation belt — array of vibration motors around a belt, driven by ESP32 with GNSS and compass, that guides visually impaired users through haptic directional cues, buzzing the motor closest to the direction they should walk.</t>
        </is>
      </c>
      <c r="H65" s="12" t="inlineStr">
        <is>
          <t>WHAT IT IS: Small actuators that create physical feedback. Buzzers (~$0.50) make beeping sounds for alarms and confirmations. Haptic (vibration) motors (~$1) are the same motors that vibrate your phone. LEDs provide visual status feedback (on, off, blinking patterns, colors). HOW IT CONNECTS: Passive buzzer: connect to a GPIO pin + GND. Use PWM to control pitch (frequency) and duration. Active buzzer: just apply power to GPIO = it beeps at a fixed pitch. Haptic motor: connect via a small MOSFET transistor (the motor draws too much current for a GPIO pin directly). Or use a DRV2605 haptic driver board (~$8) via I2C for fancy vibration patterns. LEDs: GPIO + resistor (220Ω). WHAT YOU DO: Buzzer: `tone(pin, 1000, 200)` = 1000Hz beep for 200ms. Haptic: `digitalWrite(motorPin, HIGH)` for a pulse. LEDs: `digitalWrite(ledPin, HIGH)`. Combine for rich feedback: green LED + short beep = success; red LED + long buzz = error; vibration pattern = navigation direction.</t>
        </is>
      </c>
    </row>
    <row r="66" ht="62" customHeight="1">
      <c r="A66" s="12" t="inlineStr">
        <is>
          <t>Human Interfaces</t>
        </is>
      </c>
      <c r="B66" s="75" t="inlineStr">
        <is>
          <t>Local buttons / rotary encoders</t>
        </is>
      </c>
      <c r="C66" s="107" t="inlineStr">
        <is>
          <t>Covered</t>
        </is>
      </c>
      <c r="D66" s="29" t="inlineStr">
        <is>
          <t>Strategic</t>
        </is>
      </c>
      <c r="E66" s="12" t="inlineStr">
        <is>
          <t>Encoder + pushbuttons</t>
        </is>
      </c>
      <c r="F66" s="12" t="inlineStr">
        <is>
          <t>Physical user input — menu navigation, volume control, value adjustment, mode selection, manual override for automated systems. Rotary encoders provide infinite-turn precision input. Reliable, tactile, works with gloves.</t>
        </is>
      </c>
      <c r="G66" s="12" t="inlineStr">
        <is>
          <t>NOVEL COMBOS: Pair with OLED display + encoder for minimal but complete UI for embedded devices (parameter setup, calibration, diagnostics). Combine with PCNT hardware counting for encoder tracking without CPU overhead. INVENTION SPARK: A DJ/musician performance controller — array of encoders, buttons, and touch strips connected to ESP32 as USB MIDI device, with OLED feedback per control, customizable via BLE app, and shareable preset configurations via ESP-NOW between performers.</t>
        </is>
      </c>
      <c r="H66" s="12" t="inlineStr">
        <is>
          <t>WHAT IT IS: Physical knobs, buttons, and switches that humans interact with. Rotary encoders = knobs you can turn infinitely in either direction, outputting pulses as you rotate (no end stops like a potentiometer). Push buttons = momentary switches. These give reliable, tactile input that works in all conditions — wet, gloved, dark. HOW IT CONNECTS: Push button: one pin to GPIO, other pin to GND. Enable internal pull-up: `pinMode(pin, INPUT_PULLUP)`. Reads LOW when pressed. Rotary encoder: 3 pins (CLK, DT, SW for push-click) + VCC/GND. Connect CLK and DT to GPIO pins, SW to another GPIO. WHAT YOU DO: Buttons: `if (digitalRead(pin) == LOW) { /* pressed */ }`. Add debouncing (ignore rapid false triggers): use the Bounce2 library or a simple delay. Rotary encoder: use the ESP32Encoder library. `encoder.getCount()` returns position. Clockwise = count goes up, counter-clockwise = down. The push-click acts as a 'select/confirm' button.</t>
        </is>
      </c>
    </row>
    <row r="67" ht="62" customHeight="1">
      <c r="A67" s="12" t="inlineStr">
        <is>
          <t>Debug &amp; Tooling</t>
        </is>
      </c>
      <c r="B67" s="75" t="inlineStr">
        <is>
          <t>JTAG / ESP-Prog debugging</t>
        </is>
      </c>
      <c r="C67" s="108" t="inlineStr">
        <is>
          <t>Gap</t>
        </is>
      </c>
      <c r="D67" s="29" t="inlineStr">
        <is>
          <t>Frontier</t>
        </is>
      </c>
      <c r="E67" s="12" t="inlineStr">
        <is>
          <t>ESP-Prog / ESP-Prog-2</t>
        </is>
      </c>
      <c r="F67" s="12" t="inlineStr">
        <is>
          <t>Step-through debugging, breakpoints, variable inspection, and real-time trace for firmware development. Essential for complex projects where printf debugging isn't sufficient. Speeds up development of production-quality firmware.</t>
        </is>
      </c>
      <c r="G67" s="12" t="inlineStr">
        <is>
          <t>NOVEL COMBOS: Pair with factory test fixtures for production-line programming and quality validation. Combine with remote logging for a development workflow that debugs locally via JTAG and monitors deployed units via telemetry. INVENTION SPARK: A remote JTAG-over-network debug proxy — one ESP32 acts as a JTAG adapter for another, bridging the debug interface over Wi-Fi so developers can step-debug devices deployed in hard-to-reach locations from their desk.</t>
        </is>
      </c>
      <c r="H67" s="12" t="inlineStr">
        <is>
          <t>WHAT IT IS: JTAG = a debugging interface that lets you pause your running program, inspect variables, step through code line-by-line, and set breakpoints (stop points), just like debugging software on a PC. ESP-Prog is Espressif's official ~$15 JTAG adapter board. HOW IT CONNECTS: Connect the ESP-Prog to the ESP32 via a 10-pin JTAG cable (4 signal wires: TMS, TCK, TDI, TDO + GND). The ESP-Prog also has a USB-to-serial for programming. Plug the ESP-Prog's USB into your computer. Specific GPIO pins are reserved for JTAG (check your board's pinout). WHAT YOU DO: In VS Code + PlatformIO or ESP-IDF: configure OpenOCD for ESP32, set a breakpoint in your code, click 'Debug'. The program runs until it hits the breakpoint, then stops. You can see all variable values, the call stack, and step through line by line. Invaluable for finding bugs that printf() can't catch — race conditions, timing issues, crashes.</t>
        </is>
      </c>
    </row>
    <row r="68" ht="62" customHeight="1">
      <c r="A68" s="12" t="inlineStr">
        <is>
          <t>Debug &amp; Tooling</t>
        </is>
      </c>
      <c r="B68" s="75" t="inlineStr">
        <is>
          <t>Factory flashing / test fixtures</t>
        </is>
      </c>
      <c r="C68" s="108" t="inlineStr">
        <is>
          <t>Gap</t>
        </is>
      </c>
      <c r="D68" s="29" t="inlineStr">
        <is>
          <t>Frontier</t>
        </is>
      </c>
      <c r="E68" s="12" t="inlineStr">
        <is>
          <t>Pogo-pin jig + ESP-Prog</t>
        </is>
      </c>
      <c r="F68" s="12" t="inlineStr">
        <is>
          <t>Mass-produce programmed and tested devices efficiently — pogo-pin jigs flash firmware and run automated test sequences on each board without manual cable connections. Essential for scaling from prototype to production.</t>
        </is>
      </c>
      <c r="G68" s="12" t="inlineStr">
        <is>
          <t>NOVEL COMBOS: Pair with hardware unique ID provisioning for manufacturing flows that assign unique certificates and identities during production. Combine with NVS configuration for per-device calibration data written during factory test. INVENTION SPARK: A portable pop-up IoT factory — a suitcase-sized kit with ESP-Prog, pogo-pin jig, test instruments, and a laptop running the full manufacturing pipeline, enabling small-batch production of custom IoT devices anywhere in the world.</t>
        </is>
      </c>
      <c r="H68" s="12" t="inlineStr">
        <is>
          <t>WHAT IT IS: When manufacturing devices at scale, you can't hand-plug USB cables into each board. A pogo-pin jig is a custom fixture with spring-loaded pins that press against test pads on the circuit board. Push the board down, springs make contact, firmware flashes in seconds, automated tests run. HOW IT CONNECTS: The jig has pogo pins aligned to match test pads on your PCB. Inside the jig: an ESP-Prog (for programming) + optionally a few test instruments (multimeter, power supply) controlled by a script. The board presses onto the pogo pins, making temporary contact without soldering. WHAT YOU DO: (1) Design test pads into your PCB layout. (2) 3D-print or CNC-mill a jig with pogo pins at matching positions. (3) Write a Python/shell script that flashes firmware, sets NVS configuration (device ID, calibration, certs), runs self-test (check each peripheral), and reports pass/fail. Run time per board: 10-30 seconds. Essential for going from 1 prototype to 100+ units.</t>
        </is>
      </c>
    </row>
    <row r="69" ht="62" customHeight="1">
      <c r="A69" s="12" t="inlineStr">
        <is>
          <t>Debug &amp; Tooling</t>
        </is>
      </c>
      <c r="B69" s="75" t="inlineStr">
        <is>
          <t>Remote logging / telemetry</t>
        </is>
      </c>
      <c r="C69" s="107" t="inlineStr">
        <is>
          <t>Covered</t>
        </is>
      </c>
      <c r="D69" s="29" t="inlineStr">
        <is>
          <t>Strategic</t>
        </is>
      </c>
      <c r="E69" s="12" t="inlineStr">
        <is>
          <t>ESP32 + MQTT/HTTP pipeline</t>
        </is>
      </c>
      <c r="F69" s="12" t="inlineStr">
        <is>
          <t>Monitor device behavior in the field — stream logs over MQTT/HTTP, track sensor readings, firmware versions, error rates, uptime, and performance metrics. Essential for diagnosing issues without physical access.</t>
        </is>
      </c>
      <c r="G69" s="12" t="inlineStr">
        <is>
          <t>NOVEL COMBOS: Pair with TinyML for devices that log their own AI model performance metrics (inference time, confidence scores, false positive rates). Combine with Wi-Fi + secure TLS for encrypted telemetry pipelines to cloud dashboards. INVENTION SPARK: A self-documenting IoT deployment — every device continuously streams a structured activity log that feeds an AI assistant, so when you ask 'why did the greenhouse temperature spike Tuesday?', the system can trace through sensor events, actuator actions, and decision logs to explain exactly what happened.</t>
        </is>
      </c>
      <c r="H69" s="12" t="inlineStr">
        <is>
          <t>WHAT IT IS: Once your device is deployed in the field (on a roof, in a factory, in someone's home), you can't plug in a USB cable to see what it's doing. Remote logging = the device sends its debug messages, error reports, and status info over the network to a central server where you can read them. HOW IT CONNECTS: No extra hardware — the ESP32 sends logs over its existing Wi-Fi/Ethernet connection. You need a logging server/service: (1) Free: a Raspberry Pi running Mosquitto (MQTT broker) + Grafana for dashboards. (2) Cloud: AWS CloudWatch, Azure IoT Hub, or Thingsboard (open source). WHAT YOU DO: Instead of `Serial.println("error")`, use `mqttClient.publish("device/logs", "error: sensor read failed at 14:32")`. The MQTT broker receives all logs from all devices in one place. Set up alerts: if a device stops sending logs (dead?) or sends error messages, you get an email or push notification. You can also remotely change log verbosity (more detail during debugging, less during normal operation).</t>
        </is>
      </c>
    </row>
    <row r="70" ht="62" customHeight="1">
      <c r="A70" s="12" t="inlineStr">
        <is>
          <t>Debug &amp; Tooling</t>
        </is>
      </c>
      <c r="B70" s="75" t="inlineStr">
        <is>
          <t>Device fleet observability</t>
        </is>
      </c>
      <c r="C70" s="108" t="inlineStr">
        <is>
          <t>Gap</t>
        </is>
      </c>
      <c r="D70" s="29" t="inlineStr">
        <is>
          <t>Frontier</t>
        </is>
      </c>
      <c r="E70" s="12" t="inlineStr">
        <is>
          <t>OTA + logs + metrics backend</t>
        </is>
      </c>
      <c r="F70" s="12" t="inlineStr">
        <is>
          <t>Monitor and manage thousands of deployed devices — track firmware versions, battery levels, connectivity, error rates, and sensor health across an entire fleet. Remote diagnostics, managed updates, and lifecycle management.</t>
        </is>
      </c>
      <c r="G70" s="12" t="inlineStr">
        <is>
          <t>NOVEL COMBOS: Pair with signed OTA + secure boot for zero-touch fleet management with cryptographic assurance. Combine with edge anomaly detection for devices that self-report degradation before administrators notice. INVENTION SPARK: A predictive fleet management AI — fleet telemetry from thousands of devices feeds a cloud ML model that predicts device failures before they happen, auto-scheduling maintenance and pre-shipping replacements, achieving near-zero downtime across massive IoT deployments.</t>
        </is>
      </c>
      <c r="H70" s="12" t="inlineStr">
        <is>
          <t>WHAT IT IS: When you have 100, 1000, or 10,000+ devices deployed, you need to manage them as a fleet: see which are online, their firmware version, battery level, error rate, last check-in time, and push updates to groups of devices. Fleet observability = a management dashboard for all your devices. HOW IT CONNECTS: Each ESP32 periodically reports its status (heartbeat) to a cloud backend. Options: (1) AWS IoT Device Management, (2) Azure IoT Hub, (3) Espressif's ESP RainMaker (free tier), (4) Thingsboard (open source). The ESP32 uses MQTT or HTTPS to send telemetry + receive commands. WHAT YOU DO: Each device publishes a JSON heartbeat every few minutes: `{"id":"ESP-0042", "fw":"1.2.3", "battery":78, "uptime":3600, "errors":0}`. The fleet dashboard shows a map/list of all devices, color-coded by health. You can: filter by firmware version, trigger OTA updates on selected groups, reboot devices remotely, and set alerts for devices that go silent.</t>
        </is>
      </c>
    </row>
    <row r="71" ht="62" customHeight="1">
      <c r="A71" s="12" t="inlineStr">
        <is>
          <t>System Roles</t>
        </is>
      </c>
      <c r="B71" s="75" t="inlineStr">
        <is>
          <t>Sensor hub / gateway</t>
        </is>
      </c>
      <c r="C71" s="107" t="inlineStr">
        <is>
          <t>Covered</t>
        </is>
      </c>
      <c r="D71" s="29" t="inlineStr">
        <is>
          <t>Frontier</t>
        </is>
      </c>
      <c r="E71" s="12" t="inlineStr">
        <is>
          <t>ESP32 + mixed buses + network uplink</t>
        </is>
      </c>
      <c r="F71" s="12" t="inlineStr">
        <is>
          <t>Central aggregation point that collects data from multiple sensors (I2C, SPI, 1-Wire, analog) and gateways it to the cloud via Wi-Fi/Ethernet/LoRa. The core architecture for smart buildings, farms, factories, and research stations.</t>
        </is>
      </c>
      <c r="G71" s="12" t="inlineStr">
        <is>
          <t>NOVEL COMBOS: Pair with TinyML for a smart gateway that pre-processes and filters sensor data at the edge before cloud upload, reducing bandwidth 10-100x. Combine with Thread + Matter for a universal protocol bridge connecting Zigbee, BLE, Wi-Fi, and Thread devices. INVENTION SPARK: A universal science lab platform — a sensor hub with plug-and-play I2C/SPI/analog ports, local TFT display, SD logging, cloud sync, and a phone app that auto-detects connected sensors and configures measurement pipelines, replacing racks of specialized lab instruments with a $50 hub.</t>
        </is>
      </c>
      <c r="H71" s="12" t="inlineStr">
        <is>
          <t>WHAT IT IS: A sensor hub/gateway is one ESP32 that collects data from multiple sensors and sends it all to the internet or a central system. It's the star in a star-shaped network — sensors feed into the hub, the hub feeds into the cloud. HOW IT CONNECTS: Sensors connect via I2C, SPI, 1-Wire, ADC, UART — all the buses described above. The ESP32 reads them all and uploads via Wi-Fi, Ethernet, or LoRa. Example setup: BME280 (temp/humidity/pressure, I2C) + DS18B20 chain (1-Wire) + soil moisture (ADC) + light sensor (I2C) → ESP32 → Wi-Fi → MQTT broker → Grafana dashboard. WHAT YOU DO: In your main loop: read each sensor, format data as JSON, publish via MQTT: `{"temp":23.5, "humidity":65, "soil":420, "light":780}`. The cloud dashboard plots graphs, sets alerts, and stores historical data. This is the most common IoT architecture.</t>
        </is>
      </c>
    </row>
    <row r="72" ht="62" customHeight="1">
      <c r="A72" s="12" t="inlineStr">
        <is>
          <t>System Roles</t>
        </is>
      </c>
      <c r="B72" s="75" t="inlineStr">
        <is>
          <t>Industrial edge appliance</t>
        </is>
      </c>
      <c r="C72" s="108" t="inlineStr">
        <is>
          <t>Gap</t>
        </is>
      </c>
      <c r="D72" s="29" t="inlineStr">
        <is>
          <t>Frontier</t>
        </is>
      </c>
      <c r="E72" s="12" t="inlineStr">
        <is>
          <t>ESP32-Ethernet-Kit + DIN IO</t>
        </is>
      </c>
      <c r="F72" s="12" t="inlineStr">
        <is>
          <t>DIN-rail mounted controller for factory automation, process control, building management systems, PLC replacement, SCADA edge nodes, and industrial monitoring. Combines reliability of wired ethernet/Modbus with modern IoT connectivity.</t>
        </is>
      </c>
      <c r="G72" s="12" t="inlineStr">
        <is>
          <t>NOVEL COMBOS: Pair with RS-485/Modbus + MQTT for bridging legacy industrial equipment to modern cloud platforms. Combine with PoE + ethernet for single-cable deployment in industrial environments. INVENTION SPARK: A micro-factory-in-a-box — a DIN-rail ESP32 industrial edge appliance that manages an entire small production line (CNC + 3D printer + pick-and-place + testing), accepting orders via cloud API and autonomously scheduling, running, and quality-checking production batches.</t>
        </is>
      </c>
      <c r="H72" s="12" t="inlineStr">
        <is>
          <t>WHAT IT IS: An industrial-grade ESP32 system designed for factory/building mounting. DIN-rail = the standard metal rail inside electrical panels (the same rail circuit breakers snap onto). This is the ESP32 playing in PLC (Programmable Logic Controller) territory — controlling real industrial equipment. HOW IT CONNECTS: Buy an ESP32-Ethernet-Kit or an industrial ESP32 board with DIN-rail case (companies like Olimex, Lilygo, and M5Stack make these). Connect: Ethernet for reliable network, RS-485/Modbus for industrial sensors/actuators, digital I/O for relays/switches, 24V industrial power supply. Mount on DIN rail in a control panel. WHAT YOU DO: Code runs as a state machine or PLC-like ladder logic. Read sensors via Modbus, make control decisions, drive outputs. Example: read temperature sensor, compare to setpoint, turn on cooling relay if too hot. The difference from a real PLC: you get Wi-Fi, MQTT, cloud dashboards, OTA updates, and AI — for 1/10th the price.</t>
        </is>
      </c>
    </row>
    <row r="73" ht="62" customHeight="1">
      <c r="A73" s="12" t="inlineStr">
        <is>
          <t>System Roles</t>
        </is>
      </c>
      <c r="B73" s="75" t="inlineStr">
        <is>
          <t>Vehicle / RV / marine bridge</t>
        </is>
      </c>
      <c r="C73" s="107" t="inlineStr">
        <is>
          <t>Covered</t>
        </is>
      </c>
      <c r="D73" s="29" t="inlineStr">
        <is>
          <t>Frontier</t>
        </is>
      </c>
      <c r="E73" s="12" t="inlineStr">
        <is>
          <t>CAN transceiver + rugged power input</t>
        </is>
      </c>
      <c r="F73" s="12" t="inlineStr">
        <is>
          <t>Interface with vehicle CAN bus, read OBD-II diagnostics, manage RV/marine house batteries and solar systems, control marine navigation lights, monitor engine parameters, integrate vehicle systems with smart device dashboards.</t>
        </is>
      </c>
      <c r="G73" s="12" t="inlineStr">
        <is>
          <t>NOVEL COMBOS: Pair with GNSS + LoRa for vehicle tracking and telemetry in remote areas without cellular coverage. Combine with energy metering + display for an RV/marine energy dashboard showing solar production, battery state, and load management. INVENTION SPARK: A self-driving boat autopilot — ESP32 reads marine instruments (GPS, wind, depth, compass) via NMEA/CAN, runs sailing algorithms, controls rudder servo via PWM, and streams position/telemetry over LoRa to shore, enabling autonomous oceanographic research vessels.</t>
        </is>
      </c>
      <c r="H73" s="12" t="inlineStr">
        <is>
          <t>WHAT IT IS: ESP32 as the smart brain of a vehicle, RV, or boat. It reads vehicle data (engine stats, battery voltage, GPS position), controls accessories (lights, pumps, inverters), and provides monitoring dashboards accessible from your phone. HOW IT CONNECTS: CAN bus transceiver (for reading engine data via OBD-II port or NMEA 2000 marine network). Power: connect to vehicle 12V/24V via a voltage regulator (buck converter, ~$3, steps down to 3.3V/5V). Add: GNSS module for position, display for local dashboard, relay board for controlling accessories. Rugged connectors and conformal coating for marine environments. WHAT YOU DO: Read OBD-II: request PIDs (Parameter IDs) via CAN. PID 0x0D = vehicle speed, PID 0x0C = RPM. For marine: parse NMEA sentences for wind, depth, heading. Display on a local screen or serve a web dashboard via Wi-Fi AP. For RV solar: read battery voltage (ADC), solar current (CT clamp), calculate state of charge, control charging relays.</t>
        </is>
      </c>
    </row>
    <row r="74" ht="62" customHeight="1">
      <c r="A74" s="12" t="inlineStr">
        <is>
          <t>System Roles</t>
        </is>
      </c>
      <c r="B74" s="75" t="inlineStr">
        <is>
          <t>Room node / ambient controller</t>
        </is>
      </c>
      <c r="C74" s="107" t="inlineStr">
        <is>
          <t>Covered</t>
        </is>
      </c>
      <c r="D74" s="29" t="inlineStr">
        <is>
          <t>Strategic</t>
        </is>
      </c>
      <c r="E74" s="12" t="inlineStr">
        <is>
          <t>Display + presence + climate + relay kit</t>
        </is>
      </c>
      <c r="F74" s="12" t="inlineStr">
        <is>
          <t>Smart thermostat, lighting controller, air quality monitor, occupancy-based automation for individual rooms. Combines display, sensors, and actuator control for complete ambient environment management.</t>
        </is>
      </c>
      <c r="G74" s="12" t="inlineStr">
        <is>
          <t>NOVEL COMBOS: Pair with Matter/Thread for rooms that integrate with any smart home ecosystem. Combine with TinyML + audio for rooms that detect activity type (meeting, focus work, sleeping) and auto-adjust environment. INVENTION SPARK: A room that learns — ESP32 room node with occupancy, environmental, and audio sensors builds a TinyML model of room usage patterns, pre-conditioning temperature/lighting before regular events, learning individual preferences, and adapting to seasonal changes, all without cloud dependency.</t>
        </is>
      </c>
      <c r="H74" s="12" t="inlineStr">
        <is>
          <t>WHAT IT IS: A single ESP32 device that manages an entire room's environment: temperature, lighting, air quality, occupancy detection, and control of heaters/fans/lights/blinds. It's a smart thermostat + lighting controller + air quality monitor + occupancy sensor all in one. HOW IT CONNECTS: Typical build: BME280 or SHT40 (temp/humidity, I2C) + SCD40 (CO2, I2C) + PIR motion sensor (GPIO) + ambient light sensor (I2C/ADC) + relay module (GPIO, to switch heater/fan/lights) + small display (SPI/I2C) + buzzer + LED status. All housed in a 3D-printed wall-mount case. WHAT YOU DO: Code reads all sensors, applies rules (if temp &gt; 24 and occupied: turn on fan relay; if CO2 &gt; 1000ppm: turn on ventilation), and can be overridden from a phone via Wi-Fi web interface or Matter/HomeKit integration. More advanced: use TinyML to learn occupancy patterns and pre-condition the room before you arrive.</t>
        </is>
      </c>
    </row>
    <row r="75" ht="62" customHeight="1">
      <c r="A75" s="12" t="inlineStr">
        <is>
          <t>System Roles</t>
        </is>
      </c>
      <c r="B75" s="75" t="inlineStr">
        <is>
          <t>Portable instrument</t>
        </is>
      </c>
      <c r="C75" s="107" t="inlineStr">
        <is>
          <t>Covered</t>
        </is>
      </c>
      <c r="D75" s="29" t="inlineStr">
        <is>
          <t>Frontier</t>
        </is>
      </c>
      <c r="E75" s="12" t="inlineStr">
        <is>
          <t>Battery + display + sensor front-end</t>
        </is>
      </c>
      <c r="F75" s="12" t="inlineStr">
        <is>
          <t>Handheld multimeter/oscilloscope, field spectrum analyzer, environmental quality tester, gas detector, radiation monitor, soil analyzer. Battery-powered, display-equipped, sensor-frontend measurement tools.</t>
        </is>
      </c>
      <c r="G75" s="12" t="inlineStr">
        <is>
          <t>NOVEL COMBOS: Pair with USB-C device mode for instruments that appear as lab equipment to PCs. Combine with BLE + phone app for extended data visualization and logging. INVENTION SPARK: A tricorder-style universal field analyzer — modular sensor front-end (swappable cartridges for different measurement types), ESP32-S3 brain with DSP processing, OLED display, and BLE phone app, capable of measuring EMF, air quality, radioactivity, UV, sound levels, and more from one pocket-sized device.</t>
        </is>
      </c>
      <c r="H75" s="12" t="inlineStr">
        <is>
          <t>WHAT IT IS: A battery-powered handheld device with a display, sensor input, and processing — basically a DIY measurement instrument. Think multimeter, air quality tester, or oscilloscope, but one you build and customize yourself for your specific needs. HOW IT CONNECTS: Core: ESP32-S3 (for DSP power) + LiPo battery + small TFT display (SPI) + whatever sensor front-end you need. For a multimeter: external ADC (ADS1115 via I2C) + input protection circuitry. For air quality: BME680 (I2C) + PMS5003 particulate sensor (UART). For an oscilloscope: high-speed SPI ADC. Case: 3D print an enclosure with button cutouts. WHAT YOU DO: Read sensors, process data (filtering, FFT, unit conversion), display results on screen with graphs and numbers. Add BLE to stream data to a phone app for logging. Add USB-C to appear as a virtual COM port to a PC for data export. Total cost: $15-40 for a custom instrument that would cost $200+ commercially.</t>
        </is>
      </c>
    </row>
    <row r="76" ht="62" customHeight="1">
      <c r="A76" s="12" t="inlineStr">
        <is>
          <t>System Roles</t>
        </is>
      </c>
      <c r="B76" s="75" t="inlineStr">
        <is>
          <t>Wearable / body node</t>
        </is>
      </c>
      <c r="C76" s="108" t="inlineStr">
        <is>
          <t>Gap</t>
        </is>
      </c>
      <c r="D76" s="29" t="inlineStr">
        <is>
          <t>Strategic</t>
        </is>
      </c>
      <c r="E76" s="12" t="inlineStr">
        <is>
          <t>ESP32-C3 mini + IMU + battery</t>
        </is>
      </c>
      <c r="F76" s="12" t="inlineStr">
        <is>
          <t>Fitness trackers, health monitors, posture correctors, gesture recognition gloves, smart jewelry, athletic performance analyzers. Tiny form factor with BLE connectivity and low power for all-day wear.</t>
        </is>
      </c>
      <c r="G76" s="12" t="inlineStr">
        <is>
          <t>NOVEL COMBOS: Pair with IMU sensor fusion + TinyML for on-body activity and gesture recognition. Combine with BLE + haptics for silent notification wearables. INVENTION SPARK: A tremor-cancelling utensil — wearable ESP32-C3 senses hand tremor patterns via IMU, predicts the oscillation, and drives a counteracting linear actuator in real-time, stabilizing eating utensils for Parkinson's patients, all in a device light enough to wear on the wrist.</t>
        </is>
      </c>
      <c r="H76" s="12" t="inlineStr">
        <is>
          <t>WHAT IT IS: A tiny ESP32 module designed to be worn on the body: wristband, pendant, ring, or clipped to clothing. Measures body-related data (movement, heart rate, temperature, orientation) and communicates wirelessly to a phone. HOW IT CONNECTS: Core: ESP32-C3 mini module (smallest ESP32, ~10mm) + IMU (MPU6050 or LSM6DS3, I2C) + LiPo battery (100-300mAh) + LiPo charger (TP4056). Optional: heart rate sensor (MAX30102, I2C), haptic motor, tiny OLED (0.42"). Everything miniaturized and soldered on a custom PCB. Case: 3D print or use a silicone mold. WHAT YOU DO: Read accelerometer/gyroscope for step counting, gesture recognition, or tremor detection. Run TinyML for activity classification (walking, running, sleeping, falling). Send data via BLE to a phone app. Use deep sleep + wake-on-motion to extend battery to days. Example: a fall-detection pendant that calls for help automatically.</t>
        </is>
      </c>
    </row>
    <row r="77" ht="62" customHeight="1">
      <c r="A77" s="12" t="inlineStr">
        <is>
          <t>System Roles</t>
        </is>
      </c>
      <c r="B77" s="75" t="inlineStr">
        <is>
          <t>RF sensing / RTLS endpoint</t>
        </is>
      </c>
      <c r="C77" s="107" t="inlineStr">
        <is>
          <t>Covered</t>
        </is>
      </c>
      <c r="D77" s="29" t="inlineStr">
        <is>
          <t>Frontier</t>
        </is>
      </c>
      <c r="E77" s="12" t="inlineStr">
        <is>
          <t>ESP32 Wi-Fi node or UWB addon</t>
        </is>
      </c>
      <c r="F77" s="12" t="inlineStr">
        <is>
          <t>Wi-Fi fingerprinting for indoor positioning, RSSI-based presence detection, room occupancy sensing using ambient RF signals, BLE direction finding, UWB-based real-time location tracking for assets and people.</t>
        </is>
      </c>
      <c r="G77" s="12" t="inlineStr">
        <is>
          <t>NOVEL COMBOS: Pair with UWB + BLE for multi-resolution tracking (BLE for room-level, UWB for centimeter precision). Combine with TinyML for RF-based gesture recognition using Wi-Fi CSI (channel state information). INVENTION SPARK: A through-wall people counter and flow mapper — ESP32 Wi-Fi CSI sensing detects human presence and movement through walls without cameras, mapping foot traffic in retail stores, museums, and public spaces while preserving complete visual privacy.</t>
        </is>
      </c>
      <c r="H77" s="12" t="inlineStr">
        <is>
          <t>WHAT IT IS: Using the ESP32's Wi-Fi and/or BLE radio to detect, locate, and track things by their radio signals — without connecting to them. Wi-Fi CSI (Channel State Information) = the ESP32 analyzes how Wi-Fi signals are distorted by objects and people in a room. BLE RSSI = measures signal strength from BLE beacons to estimate distance. UWB = centimeter-accurate ranging. HOW IT CONNECTS: For Wi-Fi CSI: just an ESP32 — no extra hardware. It uses the Wi-Fi radio to probe the wireless channel characteristics. For BLE presence: ESP32 scans for BLE devices (phones, beacons) and measures signal strength. For UWB RTLS: add DW3000 UWB modules as fixed anchors + mobile tags. WHAT YOU DO: Wi-Fi CSI: use the ESP-CSI toolkit from Espressif. Analyze CSI amplitude/phase changes to detect motion, count people, or recognize gestures — through walls, with zero cameras. BLE: `BLEDevice::getScan()-&gt;getResults()` lists nearby BLE devices + RSSI. Track specific devices' RSSI over time = movement patterns. UWB: time-of-flight ranging between anchors and tags gives centimeter-accurate positions.</t>
        </is>
      </c>
    </row>
  </sheetData>
  <mergeCells count="2">
    <mergeCell ref="A3:H3"/>
    <mergeCell ref="A2:H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666666"/>
    <outlinePr summaryBelow="1" summaryRight="1"/>
    <pageSetUpPr/>
  </sheetPr>
  <dimension ref="A1:V20"/>
  <sheetViews>
    <sheetView showGridLines="0" zoomScale="100" workbookViewId="0">
      <selection activeCell="A1" sqref="A1"/>
    </sheetView>
  </sheetViews>
  <sheetFormatPr baseColWidth="8" defaultRowHeight="15"/>
  <cols>
    <col width="26" customWidth="1" min="1" max="1"/>
    <col width="34" customWidth="1" min="2" max="2"/>
    <col width="34" customWidth="1" min="3" max="3"/>
    <col width="30" customWidth="1" min="4" max="4"/>
    <col width="24" customWidth="1" min="5" max="5"/>
    <col width="24"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1" t="inlineStr">
        <is>
          <t>Provenance</t>
        </is>
      </c>
    </row>
    <row r="2" ht="32" customHeight="1">
      <c r="A2" s="3" t="inlineStr">
        <is>
          <t>📋 PROVENANCE — which numbers to trust</t>
        </is>
      </c>
      <c r="B2" s="4" t="n"/>
      <c r="C2" s="4" t="n"/>
      <c r="D2" s="4" t="n"/>
      <c r="E2" s="4" t="n"/>
      <c r="F2" s="4" t="n"/>
    </row>
    <row r="3" ht="26" customHeight="1">
      <c r="A3" s="5" t="inlineStr">
        <is>
          <t>A reference document that hides its uncertainty is worse than one that admits it. This is what we know, how we know it, and where we don't.</t>
        </is>
      </c>
    </row>
    <row r="4" ht="24" customHeight="1">
      <c r="A4" s="6" t="inlineStr">
        <is>
          <t>CONFIDENCE ACROSS THE CATALOG</t>
        </is>
      </c>
    </row>
    <row r="5" ht="18" customHeight="1">
      <c r="A5" s="109" t="inlineStr">
        <is>
          <t>Verified</t>
        </is>
      </c>
      <c r="B5" s="110" t="n">
        <v>0</v>
      </c>
      <c r="C5" s="12" t="inlineStr">
        <is>
          <t>Checked against a manufacturer or first-party vendor page</t>
        </is>
      </c>
    </row>
    <row r="6" ht="18" customHeight="1">
      <c r="A6" s="109" t="inlineStr">
        <is>
          <t>High</t>
        </is>
      </c>
      <c r="B6" s="110" t="n">
        <v>238</v>
      </c>
      <c r="C6" s="12" t="inlineStr">
        <is>
          <t>Well-established, widely documented; not individually re-checked</t>
        </is>
      </c>
    </row>
    <row r="7" ht="18" customHeight="1">
      <c r="A7" s="109" t="inlineStr">
        <is>
          <t>Estimate</t>
        </is>
      </c>
      <c r="B7" s="110" t="n">
        <v>0</v>
      </c>
      <c r="C7" s="12" t="inlineStr">
        <is>
          <t>Approximate — treat the number as a tier, not a quote</t>
        </is>
      </c>
    </row>
    <row r="9" ht="24" customHeight="1">
      <c r="A9" s="6" t="inlineStr">
        <is>
          <t>POLICY</t>
        </is>
      </c>
    </row>
    <row r="10" ht="81" customHeight="1">
      <c r="A10" s="7" t="inlineStr">
        <is>
          <t>Prices are tiers, not quotes</t>
        </is>
      </c>
      <c r="B10" s="12" t="inlineStr">
        <is>
          <t>Every price is a typical hobby-breakout street price and drifts constantly. AliExpress roughly halves most of them; Adafruit and SparkFun charge more and give you documentation, libraries and support that are frequently worth the difference. Use the tier ($ / $$ / $$$ / $$$$), not the number.</t>
        </is>
      </c>
    </row>
    <row r="11" ht="50" customHeight="1">
      <c r="A11" s="7" t="inlineStr">
        <is>
          <t>Specs come from datasheets and experience, not our lab</t>
        </is>
      </c>
      <c r="B11" s="12" t="inlineStr">
        <is>
          <t>Nothing here was measured on a bench by us. Accuracy figures are manufacturer claims, which are best-case, at 25°C, after calibration. Your result will be worse.</t>
        </is>
      </c>
    </row>
    <row r="12" ht="86" customHeight="1">
      <c r="A12" s="7" t="inlineStr">
        <is>
          <t>SKUs and libraries are named only when known</t>
        </is>
      </c>
      <c r="B12" s="12" t="inlineStr">
        <is>
          <t>v5 of this document confidently cited an Adafruit product number for a breakout that does not exist, and a library to match. Both were fabrications. Everything flagged in review was re-checked; where a SKU could not be confirmed it is now described generically instead. An honest gap beats a confident invention.</t>
        </is>
      </c>
    </row>
    <row r="13" ht="60" customHeight="1">
      <c r="A13" s="7" t="inlineStr">
        <is>
          <t>What fools it is the most valuable and least verifiable column</t>
        </is>
      </c>
      <c r="B13" s="12" t="inlineStr">
        <is>
          <t>These failure modes come from datasheets, application notes and hard-won community experience. They are directionally right and specific on purpose. Treat them as 'things to test for', not as guarantees.</t>
        </is>
      </c>
    </row>
    <row r="14" ht="97" customHeight="1">
      <c r="A14" s="7" t="inlineStr">
        <is>
          <t>Safety content is a starting point, never a substitute</t>
        </is>
      </c>
      <c r="B14" s="12" t="inlineStr">
        <is>
          <t>Where a part carries a hazard badge, the badge is a prompt to go and read the manufacturer's documentation. For anything life-safety — combustible gas, carbon monoxide, fire, medical — a certified device is the answer and a hobby sensor is at best a supplement to it. This document previously got this wrong; it now says so loudly and in every relevant entry.</t>
        </is>
      </c>
    </row>
    <row r="16" ht="24" customHeight="1">
      <c r="A16" s="6" t="inlineStr">
        <is>
          <t>VERSION HISTORY</t>
        </is>
      </c>
    </row>
    <row r="17" ht="38" customHeight="1">
      <c r="A17" s="111" t="inlineStr">
        <is>
          <t>v4</t>
        </is>
      </c>
      <c r="B17" s="12" t="inlineStr">
        <is>
          <t>ESP32 capability map — 73 platform capabilities. Preserved on the ESP32 sheet, with its text corruption repaired.</t>
        </is>
      </c>
    </row>
    <row r="18" ht="31" customHeight="1">
      <c r="A18" s="111" t="inlineStr">
        <is>
          <t>v5</t>
        </is>
      </c>
      <c r="B18" s="12" t="inlineStr">
        <is>
          <t>First sensor catalog: 238 sensors × 20 fields, themes, synergy matrix, 41 seeds.</t>
        </is>
      </c>
    </row>
    <row r="19" ht="95" customHeight="1">
      <c r="A19" s="111" t="inlineStr">
        <is>
          <t>v5.1</t>
        </is>
      </c>
      <c r="B19" s="12" t="inlineStr">
        <is>
          <t>Correctness pass after a hostile expert review. 36 fixes: dangerous advice about siting heated gas sensors inside LPG lockers and hydrogen-accumulating battery rooms removed; a documented 'logic-safe' output that would destroy an ESP32 corrected; ~18 factual errors fixed; a fabricated SKU replaced; the synergy matrix's silent key collisions repaired.</t>
        </is>
      </c>
    </row>
    <row r="20" ht="80" customHeight="1">
      <c r="A20" s="111" t="inlineStr">
        <is>
          <t>v6</t>
        </is>
      </c>
      <c r="B20" s="12" t="inlineStr">
        <is>
          <t>The Invention Atlas. Schema v2 with 36 fields including what-fools-it, hazard, privacy and calibration. Four catalogs. Phenomena and inferences as controlled vocabularies, which makes the Inference Atlas, Phenomenon Index and Constraint Navigator possible. Stable IDs. A hard validator.</t>
        </is>
      </c>
    </row>
  </sheetData>
  <mergeCells count="17">
    <mergeCell ref="A2:F2"/>
    <mergeCell ref="A16:F16"/>
    <mergeCell ref="B12:F12"/>
    <mergeCell ref="B20:F20"/>
    <mergeCell ref="B10:F10"/>
    <mergeCell ref="B11:F11"/>
    <mergeCell ref="A9:F9"/>
    <mergeCell ref="B19:F19"/>
    <mergeCell ref="C6:F6"/>
    <mergeCell ref="C7:F7"/>
    <mergeCell ref="A4:F4"/>
    <mergeCell ref="B14:F14"/>
    <mergeCell ref="A3:F3"/>
    <mergeCell ref="C5:F5"/>
    <mergeCell ref="B17:F17"/>
    <mergeCell ref="B18:F18"/>
    <mergeCell ref="B13:F13"/>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2026-07-25T03:00:23Z</dcterms:created>
  <dcterms:modified xsi:type="dcterms:W3CDTF">2026-07-25T03:00:28Z</dcterms:modified>
</cp:coreProperties>
</file>